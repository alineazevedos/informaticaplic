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drawings/drawing2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3" codeName="{3D1A710C-6663-3D7B-7F91-EC182F24A4B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atec\Downloads\"/>
    </mc:Choice>
  </mc:AlternateContent>
  <xr:revisionPtr revIDLastSave="0" documentId="13_ncr:1_{4819E549-90AA-4DFC-9276-8D755184F850}" xr6:coauthVersionLast="36" xr6:coauthVersionMax="36" xr10:uidLastSave="{00000000-0000-0000-0000-000000000000}"/>
  <bookViews>
    <workbookView xWindow="0" yWindow="0" windowWidth="28800" windowHeight="12225" activeTab="3" xr2:uid="{00000000-000D-0000-FFFF-FFFF00000000}"/>
  </bookViews>
  <sheets>
    <sheet name="BASE" sheetId="1" r:id="rId1"/>
    <sheet name="TABELA DINAMICA" sheetId="3" r:id="rId2"/>
    <sheet name="DASHBOARD" sheetId="4" r:id="rId3"/>
    <sheet name="Formulário" sheetId="5" r:id="rId4"/>
  </sheets>
  <definedNames>
    <definedName name="SegmentaçãodeDados_Mês_Ano">#N/A</definedName>
    <definedName name="SegmentaçãodeDados_Órgão_Entidade_Vinculada">#N/A</definedName>
    <definedName name="SegmentaçãodeDados_Órgão_Superior">#N/A</definedName>
  </definedNames>
  <calcPr calcId="191029"/>
  <pivotCaches>
    <pivotCache cacheId="9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H9" i="5" l="1"/>
  <c r="H8" i="5"/>
  <c r="H7" i="5"/>
</calcChain>
</file>

<file path=xl/sharedStrings.xml><?xml version="1.0" encoding="utf-8"?>
<sst xmlns="http://schemas.openxmlformats.org/spreadsheetml/2006/main" count="4260" uniqueCount="308">
  <si>
    <t>Mês Ano</t>
  </si>
  <si>
    <t>Órgão Superior</t>
  </si>
  <si>
    <t>Órgão/Entidade Vinculada</t>
  </si>
  <si>
    <t>Valor Empenhado</t>
  </si>
  <si>
    <t>Valor Liquidado</t>
  </si>
  <si>
    <t>Valor Pago</t>
  </si>
  <si>
    <t>Valor Restos a Pagar Pagos</t>
  </si>
  <si>
    <t>63000 - Advocacia-Geral da União</t>
  </si>
  <si>
    <t>63000 - Advocacia-Geral da União - Unidades com vínculo direto</t>
  </si>
  <si>
    <t>24000 - Ministério da Ciência, Tecnologia e Inovação</t>
  </si>
  <si>
    <t>20402 - Agência Espacial Brasileira</t>
  </si>
  <si>
    <t>68000 - Ministério de Portos e Aeroportos</t>
  </si>
  <si>
    <t>62201 - Agência Nacional de Aviação Civil</t>
  </si>
  <si>
    <t>32000 - Ministério de Minas e Energia</t>
  </si>
  <si>
    <t>32210 - Agência Nacional de Energia Elétrica</t>
  </si>
  <si>
    <t>32396 - Agência Nacional de Mineração</t>
  </si>
  <si>
    <t>36000 - Ministério da Saúde</t>
  </si>
  <si>
    <t>36213 - Agência Nacional de Saúde Suplementar</t>
  </si>
  <si>
    <t>68201 - Agência Nacional de Transportes Aquaviários</t>
  </si>
  <si>
    <t>39000 - Ministério dos Transportes</t>
  </si>
  <si>
    <t>39250 - Agência Nacional de Transportes Terrestres</t>
  </si>
  <si>
    <t>36212 - Agência Nacional de Vigilância Sanitária</t>
  </si>
  <si>
    <t>44000 - Ministério do Meio Ambiente e Mudança do Clima</t>
  </si>
  <si>
    <t>44205 - Agência Nacional de Águas</t>
  </si>
  <si>
    <t>42000 - Ministério da Cultura</t>
  </si>
  <si>
    <t>20203 - Agência Nacional do Cinema</t>
  </si>
  <si>
    <t>32205 - Agência Nacional do Petróleo, Gás Natural e Biocombustíveis</t>
  </si>
  <si>
    <t>41000 - Ministério das Comunicações</t>
  </si>
  <si>
    <t>41231 - Agêncial Nacional de Telecomunicações</t>
  </si>
  <si>
    <t>52000 - Ministério da Defesa</t>
  </si>
  <si>
    <t>52233 - Amazônia Azul Tecnologia de Defesa S.A.</t>
  </si>
  <si>
    <t>30000 - Ministério da Justiça e Segurança Pública</t>
  </si>
  <si>
    <t>30212 - Autoridade Nacional de Proteção de Dados</t>
  </si>
  <si>
    <t>25201 - Banco Central do Brasil - Orçamento Fiscal e Seguridade Social</t>
  </si>
  <si>
    <t>25201 - Banco Central do Brasil - Orçamento Fiscal e Seguridade Social - Unidades com vínculo direto</t>
  </si>
  <si>
    <t>31280 - Caixa de Construções de Casas para o Pessoal da Marinha do Brasil</t>
  </si>
  <si>
    <t>52211 - Caixa de Financiamento Imobiliário da Aeronáutica</t>
  </si>
  <si>
    <t>26000 - Ministério da Educação</t>
  </si>
  <si>
    <t>26256 - Centro Federal de Educação Tecnológica Celso Suckow da Fonseca</t>
  </si>
  <si>
    <t>26257 - Centro Federal de Educação Tecnológica de Minas Gerais</t>
  </si>
  <si>
    <t>24209 - Centro Nacional de Tecnologia Eletrônica Avançada S.A.</t>
  </si>
  <si>
    <t>26201 - Colégio Pedro II</t>
  </si>
  <si>
    <t>52111 - Comando da Aeronáutica</t>
  </si>
  <si>
    <t>52131 - Comando da Marinha</t>
  </si>
  <si>
    <t>52121 - Comando do Exército</t>
  </si>
  <si>
    <t>25000 - Ministério da Fazenda</t>
  </si>
  <si>
    <t>25203 - Comissão de Valores Mobiliários</t>
  </si>
  <si>
    <t>20301 - Comissão Nacional de Energia Nuclear</t>
  </si>
  <si>
    <t>56000 - Ministério das Cidades</t>
  </si>
  <si>
    <t>29214 - Companhia Brasileira de Trens Urbanos</t>
  </si>
  <si>
    <t>53000 - Ministério da Integração e do Desenvolvimento Regional</t>
  </si>
  <si>
    <t>22203 - Companhia de Desenvolvimento dos Vales do São Francisco e do Parnaíba</t>
  </si>
  <si>
    <t>29208 - Companhia de Pesquisa de Recursos Minerais</t>
  </si>
  <si>
    <t>49000 - Ministério do Desenvolvimento Agrário e Agricultura Familiar</t>
  </si>
  <si>
    <t>22211 - Companhia Nacional de Abastecimento</t>
  </si>
  <si>
    <t>30211 - Conselho Administrativo de Defesa Econômica</t>
  </si>
  <si>
    <t>20501 - Conselho Nacional de Desenvolvimento Científico e Tecnológico</t>
  </si>
  <si>
    <t>37000 - Controladoria-Geral da União</t>
  </si>
  <si>
    <t>37000 - Controladoria-Geral da União - Unidades com vínculo direto</t>
  </si>
  <si>
    <t>39252 - Departamento Nacional de Infraestrutura de Transportes</t>
  </si>
  <si>
    <t>22204 - Departamento Nacional de Obras Contra as Secas</t>
  </si>
  <si>
    <t>20000 - Presidência da República</t>
  </si>
  <si>
    <t>20415 - Empresa Brasil de Comunicação</t>
  </si>
  <si>
    <t>22000 - Ministério da Agricultura e Pecuária</t>
  </si>
  <si>
    <t>22202 - Empresa Brasileira de Pesquisa Agropecuária</t>
  </si>
  <si>
    <t>26443 - Empresa Brasileira de Serviços Hospitalares</t>
  </si>
  <si>
    <t>32314 - Empresa de Pesquisa Energética</t>
  </si>
  <si>
    <t>29205 - Empresa de Trens Urbanos de Porto Alegre</t>
  </si>
  <si>
    <t>20502 - Financiadora de Estudos e Projetos</t>
  </si>
  <si>
    <t>35000 - Ministério das Relações Exteriores</t>
  </si>
  <si>
    <t>35201 - Fundação Alexandre de Gusmão</t>
  </si>
  <si>
    <t>20404 - Fundação Biblioteca Nacional</t>
  </si>
  <si>
    <t>20403 - Fundação Casa de Rui Barbosa</t>
  </si>
  <si>
    <t>26291 - Fundação Coordenação de Aperfeiçoamento de Pessoal de Nível Superior</t>
  </si>
  <si>
    <t>20408 - Fundação Cultural Palmares</t>
  </si>
  <si>
    <t>46000 - Ministério da Gestão e da Inovação em Serviços Públicos</t>
  </si>
  <si>
    <t>20202 - Fundação Escola Nacional de Administração Pública</t>
  </si>
  <si>
    <t>47000 - Ministério do Planejamento e Orçamento</t>
  </si>
  <si>
    <t>25205 - Fundação Instituto Brasileiro de Geografia e Estatística</t>
  </si>
  <si>
    <t>26292 - Fundação Joaquim Nabuco</t>
  </si>
  <si>
    <t>40000 - Ministério do Trabalho e Emprego</t>
  </si>
  <si>
    <t>37201 - Fundação Jorge Duprat Figueiredo, de Segurança e Medicina do Trabalho</t>
  </si>
  <si>
    <t>20412 - Fundação Nacional de Artes</t>
  </si>
  <si>
    <t>36211 - Fundação Nacional de Saúde</t>
  </si>
  <si>
    <t>84000 - Ministério dos Povos Indígenas</t>
  </si>
  <si>
    <t>30202 - Fundação Nacional do Índio</t>
  </si>
  <si>
    <t>30205 - Fundação Nacional do Índio - Patrimônio Indígena</t>
  </si>
  <si>
    <t>36201 - Fundação Oswaldo Cruz</t>
  </si>
  <si>
    <t>52222 - Fundação Osório</t>
  </si>
  <si>
    <t>26271 - Fundação Universidade de Brasília</t>
  </si>
  <si>
    <t>26270 - Fundação Universidade do Amazonas</t>
  </si>
  <si>
    <t>26272 - Fundação Universidade do Maranhão</t>
  </si>
  <si>
    <t>26350 - Fundação Universidade Federal da Grande Dourados</t>
  </si>
  <si>
    <t>26284 - Fundação Universidade Federal de Ciências da Saúde de Porto Alegre</t>
  </si>
  <si>
    <t>26278 - Fundação Universidade Federal de Pelotas</t>
  </si>
  <si>
    <t>26268 - Fundação Universidade Federal de Rondônia</t>
  </si>
  <si>
    <t>26281 - Fundação Universidade Federal de Sergipe</t>
  </si>
  <si>
    <t>26280 - Fundação Universidade Federal de São Carlos</t>
  </si>
  <si>
    <t>26285 - Fundação Universidade Federal de São João Del-Rei</t>
  </si>
  <si>
    <t>26274 - Fundação Universidade Federal de Uberlândia</t>
  </si>
  <si>
    <t>26352 - Fundação Universidade Federal do ABC</t>
  </si>
  <si>
    <t>26275 - Fundação Universidade Federal do Acre</t>
  </si>
  <si>
    <t>26286 - Fundação Universidade Federal do Amapá</t>
  </si>
  <si>
    <t>26276 - Fundação Universidade Federal do Mato Grosso</t>
  </si>
  <si>
    <t>26283 - Fundação Universidade Federal do Mato Grosso do Sul</t>
  </si>
  <si>
    <t>26266 - Fundação Universidade Federal do Pampa</t>
  </si>
  <si>
    <t>26279 - Fundação Universidade Federal do Piauí</t>
  </si>
  <si>
    <t>26251 - Fundação Universidade Federal do Tocantins</t>
  </si>
  <si>
    <t>26230 - Fundação Universidade Federal do Vale do São Francisco</t>
  </si>
  <si>
    <t>53902 - Fundo Constitucional de Financiamento do Centro-Oeste</t>
  </si>
  <si>
    <t>53903 - Fundo Constitucional de Financiamento do Nordeste</t>
  </si>
  <si>
    <t>53901 - Fundo Constitucional de Financiamento do Norte</t>
  </si>
  <si>
    <t>25915 - Fundo Constitucional do Distrito Federal</t>
  </si>
  <si>
    <t>49901 - Fundo da Marinha Mercante</t>
  </si>
  <si>
    <t>38901 - Fundo de Amparo ao Trabalhador</t>
  </si>
  <si>
    <t>25901 - Fundo de Compensação de Variações Salariais</t>
  </si>
  <si>
    <t>22905 - Fundo de Defesa da Economia Cafeeira</t>
  </si>
  <si>
    <t>30905 - Fundo de Defesa de Direitos Difusos</t>
  </si>
  <si>
    <t>74919 - Fundo de Desenvolvimento do Centro-Oeste</t>
  </si>
  <si>
    <t>74918 - Fundo de Desenvolvimento do Nordeste</t>
  </si>
  <si>
    <t>25904 - Fundo de Estabilidade do Seguro Rural</t>
  </si>
  <si>
    <t>25914 - Fundo de Garantia à Exportação</t>
  </si>
  <si>
    <t>20116 - Fundo de Imprensa Nacional</t>
  </si>
  <si>
    <t>49001 - Fundo de Terras</t>
  </si>
  <si>
    <t>52904 - Fundo do Exército</t>
  </si>
  <si>
    <t>33000 - Ministério da Previdência Social</t>
  </si>
  <si>
    <t>37904 - Fundo do Regime Geral da Previdência Social</t>
  </si>
  <si>
    <t>54000 - Ministério do Turismo</t>
  </si>
  <si>
    <t>54901 - Fundo Geral de Turismo</t>
  </si>
  <si>
    <t>30912 - Fundo Nacional Antidrogas</t>
  </si>
  <si>
    <t>55000 - Ministério do Desenvolvimento e Assistência Social, Família e Combate à Fome</t>
  </si>
  <si>
    <t>55001 - Fundo Nacional de Assistência Social</t>
  </si>
  <si>
    <t>62901 - Fundo Nacional de Aviação Civil</t>
  </si>
  <si>
    <t>34902 - Fundo Nacional de Cultura</t>
  </si>
  <si>
    <t>20924 - Fundo Nacional de Desenvolvimento</t>
  </si>
  <si>
    <t>24901 - Fundo Nacional de Desenvolvimento Científico e Tecnológico</t>
  </si>
  <si>
    <t>26298 - Fundo Nacional de Desenvolvimento da Educação</t>
  </si>
  <si>
    <t>56902 - Fundo Nacional de Habitação de Interesse Social</t>
  </si>
  <si>
    <t>30911 - Fundo Nacional de Segurança Pública</t>
  </si>
  <si>
    <t>44204 - Fundo Nacional do Meio Ambiente</t>
  </si>
  <si>
    <t>81000 - Ministério dos Direitos Humanos e Cidadania</t>
  </si>
  <si>
    <t>30913 - Fundo Nacional para a Criança e o Adolescente</t>
  </si>
  <si>
    <t>41903 - Fundo para o Desenvolvimento Tecnológico das Telecomunicações</t>
  </si>
  <si>
    <t>30907 - Fundo Penitenciário Nacional</t>
  </si>
  <si>
    <t>60000 - Gabinete da Vice-Presidência da República</t>
  </si>
  <si>
    <t>26294 - Hospital de Clínicas de Porto Alegre</t>
  </si>
  <si>
    <t>36210 - Hospital Nossa Senhora da Conceição S.A.</t>
  </si>
  <si>
    <t>52221 - Indústria de Material Bélico do Brasil</t>
  </si>
  <si>
    <t>42207 - Instituto Brasileiro de Museus</t>
  </si>
  <si>
    <t>20701 - Instituto Brasileiro do Meio Ambiente e dos Recursos Naturais Renováveis</t>
  </si>
  <si>
    <t>44207 - Instituto Chico Mendes de Conservação da Biodiversidade</t>
  </si>
  <si>
    <t>61201 - Instituto de Pesquisa Econômica Aplicada</t>
  </si>
  <si>
    <t>44206 - Instituto de Pesquisas Jardim Botânico do Rio de Janeiro</t>
  </si>
  <si>
    <t>20411 - Instituto do Patrimônio Histórico e Artístico Nacional</t>
  </si>
  <si>
    <t>26404 - Instituto Federal Baiano</t>
  </si>
  <si>
    <t>26422 - Instituto Federal Catarinense</t>
  </si>
  <si>
    <t>26427 - Instituto Federal da Bahia</t>
  </si>
  <si>
    <t>26417 - Instituto Federal da Paraíba</t>
  </si>
  <si>
    <t>26402 - Instituto Federal de Alagoas</t>
  </si>
  <si>
    <t>26428 - Instituto Federal de Brasília</t>
  </si>
  <si>
    <t>26429 - Instituto Federal de Educação, Ciência e Tecnologia de Goiás</t>
  </si>
  <si>
    <t>26409 - Instituto Federal de Minas Gerais</t>
  </si>
  <si>
    <t>26418 - Instituto Federal de Pernambuco</t>
  </si>
  <si>
    <t>26421 - Instituto Federal de Rondônia</t>
  </si>
  <si>
    <t>26437 - Instituto Federal de Roraima</t>
  </si>
  <si>
    <t>26438 - Instituto Federal de Santa Catarina</t>
  </si>
  <si>
    <t>26423 - Instituto Federal de Sergipe</t>
  </si>
  <si>
    <t>26439 - Instituto Federal de São Paulo</t>
  </si>
  <si>
    <t>26425 - Instituto Federal do Acre</t>
  </si>
  <si>
    <t>26426 - Instituto Federal do Amapá</t>
  </si>
  <si>
    <t>26403 - Instituto Federal do Amazonas</t>
  </si>
  <si>
    <t>26405 - Instituto Federal do Ceará</t>
  </si>
  <si>
    <t>26406 - Instituto Federal do Espírito Santo</t>
  </si>
  <si>
    <t>26408 - Instituto Federal do Maranhão</t>
  </si>
  <si>
    <t>26414 - Instituto Federal do Mato Grosso</t>
  </si>
  <si>
    <t>26415 - Instituto Federal do Mato Grosso do Sul</t>
  </si>
  <si>
    <t>26410 - Instituto Federal do Norte de Minas Gerais</t>
  </si>
  <si>
    <t>26432 - Instituto Federal do Paraná</t>
  </si>
  <si>
    <t>26416 - Instituto Federal do Pará</t>
  </si>
  <si>
    <t>26431 - Instituto Federal do Piauí</t>
  </si>
  <si>
    <t>26433 - Instituto Federal do Rio de Janeiro</t>
  </si>
  <si>
    <t>26435 - Instituto Federal do Rio Grande do Norte</t>
  </si>
  <si>
    <t>26419 - Instituto Federal do Rio Grande do Sul</t>
  </si>
  <si>
    <t>26430 - Instituto Federal do Sertão de Pernambuco</t>
  </si>
  <si>
    <t>26411 - Instituto Federal do Sudeste de Minas Gerais</t>
  </si>
  <si>
    <t>26412 - Instituto Federal do Sul de Minas Gerais</t>
  </si>
  <si>
    <t>26424 - Instituto Federal do Tocantins</t>
  </si>
  <si>
    <t>26413 - Instituto Federal do Triângulo Mineiro</t>
  </si>
  <si>
    <t>26420 - Instituto Federal Farroupilha</t>
  </si>
  <si>
    <t>26434 - Instituto Federal Fluminense</t>
  </si>
  <si>
    <t>26407 - Instituto Federal Goiano</t>
  </si>
  <si>
    <t>26436 - Instituto Federal Sul-rio-grandense</t>
  </si>
  <si>
    <t>28000 - Ministério do Desenvolvimento, Indústria, Comércio e Serviços</t>
  </si>
  <si>
    <t>30204 - Instituto Nacional da Propriedade Industrial</t>
  </si>
  <si>
    <t>22201 - Instituto Nacional de Colonização e Reforma Agrária</t>
  </si>
  <si>
    <t>26290 - Instituto Nacional de Estudos e Pesquisas Educacionais Anísio Teixeira</t>
  </si>
  <si>
    <t>30203 - Instituto Nacional de Metrologia, Qualidade e Tecnologia</t>
  </si>
  <si>
    <t>24208 - Instituto Nacional de Tecnologia da Informação</t>
  </si>
  <si>
    <t>37202 - Instituto Nacional do Seguro Social</t>
  </si>
  <si>
    <t>22000 - Ministério da Agricultura e Pecuária - Unidades com vínculo direto</t>
  </si>
  <si>
    <t>24000 - Ministério da Ciência, Tecnologia e Inovação - Unidades com vínculo direto</t>
  </si>
  <si>
    <t>42000 - Ministério da Cultura - Unidades com vínculo direto</t>
  </si>
  <si>
    <t>52000 - Ministério da Defesa - Unidades com vínculo direto</t>
  </si>
  <si>
    <t>26000 - Ministério da Educação - Unidades com vínculo direto</t>
  </si>
  <si>
    <t>25000 - Ministério da Fazenda - Unidades com vínculo direto</t>
  </si>
  <si>
    <t>46000 - Ministério da Gestão e da Inovação em Serviços Públicos - Unidades com vínculo direto</t>
  </si>
  <si>
    <t>67000 - Ministério da Igualdade Racial</t>
  </si>
  <si>
    <t>67000 - Ministério da Igualdade Racial - Unidades com vínculo direto</t>
  </si>
  <si>
    <t>53000 - Ministério da Integração e do Desenvolvimento Regional - Unidades com vínculo direto</t>
  </si>
  <si>
    <t>30000 - Ministério da Justiça e Segurança Pública - Unidades com vínculo direto</t>
  </si>
  <si>
    <t>58000 - Ministério da Pesca e Aquicultura</t>
  </si>
  <si>
    <t>58000 - Ministério da Pesca e Aquicultura - Unidades com vínculo direto</t>
  </si>
  <si>
    <t>33000 - Ministério da Previdência Social - Unidades com vínculo direto</t>
  </si>
  <si>
    <t>36000 - Ministério da Saúde - Unidades com vínculo direto</t>
  </si>
  <si>
    <t>56000 - Ministério das Cidades - Unidades com vínculo direto</t>
  </si>
  <si>
    <t>41000 - Ministério das Comunicações - Unidades com vínculo direto</t>
  </si>
  <si>
    <t>65000 - Ministério das Mulheres</t>
  </si>
  <si>
    <t>65000 - Ministério das Mulheres - Unidades com vínculo direto</t>
  </si>
  <si>
    <t>35000 - Ministério das Relações Exteriores - Unidades com vínculo direto</t>
  </si>
  <si>
    <t>32000 - Ministério de Minas e Energia - Unidades com vínculo direto</t>
  </si>
  <si>
    <t>49000 - Ministério do Desenvolvimento Agrário e Agricultura Familiar - Unidades com vínculo direto</t>
  </si>
  <si>
    <t xml:space="preserve">55000 - Ministério do Desenvolvimento e Assistência Social, Família e Combate à Fome - Unidades com vínculo </t>
  </si>
  <si>
    <t>28000 - Ministério do Desenvolvimento, Indústria, Comércio e Serviços - Unidades com vínculo direto</t>
  </si>
  <si>
    <t>51000 - Ministério do Esporte</t>
  </si>
  <si>
    <t>51000 - Ministério do Esporte - Unidades com vínculo direto</t>
  </si>
  <si>
    <t>44000 - Ministério do Meio Ambiente e Mudança do Clima - Unidades com vínculo direto</t>
  </si>
  <si>
    <t>47000 - Ministério do Planejamento e Orçamento - Unidades com vínculo direto</t>
  </si>
  <si>
    <t>40000 - Ministério do Trabalho e Emprego - Unidades com vínculo direto</t>
  </si>
  <si>
    <t>54000 - Ministério do Turismo - Unidades com vínculo direto</t>
  </si>
  <si>
    <t>81000 - Ministério dos Direitos Humanos e Cidadania - Unidades com vínculo direto</t>
  </si>
  <si>
    <t>39000 - Ministério dos Transportes - Unidades com vínculo direto</t>
  </si>
  <si>
    <t>20302 - Nuclebrás Equipamentos Pesados S.A.</t>
  </si>
  <si>
    <t>30108 - Polícia Federal</t>
  </si>
  <si>
    <t>30802 - Polícia Rodoviária Federal</t>
  </si>
  <si>
    <t>20101 - Presidência da República</t>
  </si>
  <si>
    <t>44208 - Serviço Florestal Brasileiro</t>
  </si>
  <si>
    <t>20603 - Superintendência da Zona Franca de Manaus</t>
  </si>
  <si>
    <t>53207 - Superintendência de Desenvolvimento do Centro-Oeste</t>
  </si>
  <si>
    <t>25208 - Superintendência de Seguros Privados</t>
  </si>
  <si>
    <t>53202 - Superintendência do Desenvolvimento da Amazônia</t>
  </si>
  <si>
    <t>53203 - Superintendência do Desenvolvimento do Nordeste</t>
  </si>
  <si>
    <t>33206 - Superintendência Nacional de Previdência Complementar</t>
  </si>
  <si>
    <t>24216 - Telecomunicações Brasileiras S.A.</t>
  </si>
  <si>
    <t>26442 - Universidade da Integração Internacional da Lusofonia Afro-Brasileira</t>
  </si>
  <si>
    <t>26232 - Universidade Federal da Bahia</t>
  </si>
  <si>
    <t>26440 - Universidade Federal da Fronteira Sul</t>
  </si>
  <si>
    <t>26267 - Universidade Federal da Integração Latino-Americana</t>
  </si>
  <si>
    <t>26240 - Universidade Federal da Paraíba</t>
  </si>
  <si>
    <t>26231 - Universidade Federal de Alagoas</t>
  </si>
  <si>
    <t>26260 - Universidade Federal de Alfenas</t>
  </si>
  <si>
    <t>26252 - Universidade Federal de Campina Grande</t>
  </si>
  <si>
    <t>26452 - Universidade Federal de Catalão</t>
  </si>
  <si>
    <t>26235 - Universidade Federal de Goiás</t>
  </si>
  <si>
    <t>26261 - Universidade Federal de Itajubá</t>
  </si>
  <si>
    <t>26453 - Universidade Federal de Jataí</t>
  </si>
  <si>
    <t>26237 - Universidade Federal de Juiz de Fora</t>
  </si>
  <si>
    <t>26263 - Universidade Federal de Lavras</t>
  </si>
  <si>
    <t>26238 - Universidade Federal de Minas Gerais</t>
  </si>
  <si>
    <t>26277 - Universidade Federal de Ouro Preto</t>
  </si>
  <si>
    <t>26242 - Universidade Federal de Pernambuco</t>
  </si>
  <si>
    <t>26454 - Universidade Federal de Rondonópolis</t>
  </si>
  <si>
    <t>26250 - Universidade Federal de Roraima</t>
  </si>
  <si>
    <t>26246 - Universidade Federal de Santa Catarina</t>
  </si>
  <si>
    <t>26247 - Universidade Federal de Santa Maria</t>
  </si>
  <si>
    <t>26262 - Universidade Federal de São Paulo</t>
  </si>
  <si>
    <t>26282 - Universidade Federal de Viçosa</t>
  </si>
  <si>
    <t>26456 - Universidade Federal do Agreste de Pernambuco</t>
  </si>
  <si>
    <t>26449 - Universidade Federal do Cariri</t>
  </si>
  <si>
    <t>26233 - Universidade Federal do Ceará</t>
  </si>
  <si>
    <t>26455 - Universidade Federal do Delta do Parnaíba</t>
  </si>
  <si>
    <t>26234 - Universidade Federal do Espírito Santo</t>
  </si>
  <si>
    <t>26269 - Universidade Federal do Estado do Rio de Janeiro</t>
  </si>
  <si>
    <t>26457 - Universidade Federal do Norte do Tocantins</t>
  </si>
  <si>
    <t>26447 - Universidade Federal do Oeste da Bahia</t>
  </si>
  <si>
    <t>26441 - Universidade Federal do Oeste do Pará</t>
  </si>
  <si>
    <t>26241 - Universidade Federal do Paraná</t>
  </si>
  <si>
    <t>26239 - Universidade Federal do Pará</t>
  </si>
  <si>
    <t>26351 - Universidade Federal do Recôncavo da Bahia</t>
  </si>
  <si>
    <t>26245 - Universidade Federal do Rio de Janeiro</t>
  </si>
  <si>
    <t>26273 - Universidade Federal do Rio Grande</t>
  </si>
  <si>
    <t>26243 - Universidade Federal do Rio Grande do Norte</t>
  </si>
  <si>
    <t>26244 - Universidade Federal do Rio Grande do Sul</t>
  </si>
  <si>
    <t>26450 - Universidade Federal do Sul da Bahia</t>
  </si>
  <si>
    <t>26448 - Universidade Federal do Sul e Sudeste do Pará</t>
  </si>
  <si>
    <t>26254 - Universidade Federal do Triângulo Mineiro</t>
  </si>
  <si>
    <t>26255 - Universidade Federal dos Vales do Jequitinhonha e Mucuri</t>
  </si>
  <si>
    <t>26236 - Universidade Federal Fluminense</t>
  </si>
  <si>
    <t>26253 - Universidade Federal Rural da Amazônia</t>
  </si>
  <si>
    <t>26248 - Universidade Federal Rural de Pernambuco</t>
  </si>
  <si>
    <t>26249 - Universidade Federal Rural do Rio de Janeiro</t>
  </si>
  <si>
    <t>26264 - Universidade Federal Rural do Semi-Árido</t>
  </si>
  <si>
    <t>26258 - Universidade Tecnológica Federal do Paraná</t>
  </si>
  <si>
    <t>29209 - VALEC Engenharia, Construções e Ferrovias S.A.</t>
  </si>
  <si>
    <t>Rótulos de Linha</t>
  </si>
  <si>
    <t>Total Geral</t>
  </si>
  <si>
    <t>jan</t>
  </si>
  <si>
    <t>fev</t>
  </si>
  <si>
    <t>mar</t>
  </si>
  <si>
    <t>abr</t>
  </si>
  <si>
    <t>mai</t>
  </si>
  <si>
    <t>jun</t>
  </si>
  <si>
    <t>jul</t>
  </si>
  <si>
    <t>ago</t>
  </si>
  <si>
    <t>Soma de Valor Liquidado</t>
  </si>
  <si>
    <t>Soma de Valor Empenhado</t>
  </si>
  <si>
    <t>Soma de Valor Pago</t>
  </si>
  <si>
    <t/>
  </si>
  <si>
    <t>Contagem de Órgão Superior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</si>
</sst>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13">
    <xf numFmtId="0" fontId="0" fillId="0" borderId="0" xfId="0"/>
    <xf numFmtId="17" fontId="0" fillId="0" borderId="0" xfId="0" applyNumberFormat="1"/>
    <xf numFmtId="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164" fontId="0" fillId="0" borderId="0" xfId="0" pivotButton="1" applyNumberFormat="1"/>
    <xf numFmtId="164" fontId="0" fillId="0" borderId="0" xfId="0" quotePrefix="1" applyNumberFormat="1"/>
    <xf numFmtId="0" fontId="0" fillId="0" borderId="0" xfId="0" pivotButton="1" applyNumberFormat="1"/>
    <xf numFmtId="0" fontId="16" fillId="33" borderId="10" xfId="0" applyFont="1" applyFill="1" applyBorder="1"/>
    <xf numFmtId="0" fontId="0" fillId="0" borderId="11" xfId="0" applyBorder="1"/>
    <xf numFmtId="44" fontId="0" fillId="0" borderId="11" xfId="42" applyFont="1" applyBorder="1"/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Moeda" xfId="42" builtinId="4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5">
    <dxf>
      <numFmt numFmtId="164" formatCode="&quot;R$&quot;\ #,##0.00"/>
    </dxf>
    <dxf>
      <numFmt numFmtId="0" formatCode="General"/>
    </dxf>
    <dxf>
      <numFmt numFmtId="0" formatCode="General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22" formatCode="m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[Aline.xlsm]TABELA DINAMICA!Tabela dinâmica4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Valor Empenhado por mês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'TABELA DINAMICA'!$B$318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'TABELA DINAMICA'!$A$319:$A$327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'TABELA DINAMICA'!$B$319:$B$327</c:f>
              <c:numCache>
                <c:formatCode>"R$"\ #,##0.00</c:formatCode>
                <c:ptCount val="8"/>
                <c:pt idx="0">
                  <c:v>1754343775354.04</c:v>
                </c:pt>
                <c:pt idx="1">
                  <c:v>143063894915.04996</c:v>
                </c:pt>
                <c:pt idx="2">
                  <c:v>201968385732.49991</c:v>
                </c:pt>
                <c:pt idx="3">
                  <c:v>163452791404.72</c:v>
                </c:pt>
                <c:pt idx="4">
                  <c:v>358778113569.44995</c:v>
                </c:pt>
                <c:pt idx="5">
                  <c:v>514378822031.20007</c:v>
                </c:pt>
                <c:pt idx="6">
                  <c:v>317897778731.72021</c:v>
                </c:pt>
                <c:pt idx="7">
                  <c:v>86395315254.230042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41-4F15-8FB3-9F01CC11B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7765983"/>
        <c:axId val="1718500959"/>
      </c:lineChart>
      <c:catAx>
        <c:axId val="17177659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Mês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8500959"/>
        <c:crosses val="autoZero"/>
        <c:auto val="1"/>
        <c:lblAlgn val="ctr"/>
        <c:lblOffset val="100"/>
        <c:noMultiLvlLbl val="0"/>
      </c:catAx>
      <c:valAx>
        <c:axId val="1718500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Valor</a:t>
                </a:r>
                <a:r>
                  <a:rPr lang="pt-BR" baseline="0"/>
                  <a:t> em reais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7765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[Aline.xlsm]TABELA DINAMICA!Tabela dinâmica5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Valor Liquidado por mês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 DINAMICA'!$B$332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 DINAMICA'!$A$333:$A$341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'TABELA DINAMICA'!$B$333:$B$341</c:f>
              <c:numCache>
                <c:formatCode>"R$"\ #,##0.00</c:formatCode>
                <c:ptCount val="8"/>
                <c:pt idx="0">
                  <c:v>578376298680.67029</c:v>
                </c:pt>
                <c:pt idx="1">
                  <c:v>222916699879.17001</c:v>
                </c:pt>
                <c:pt idx="2">
                  <c:v>393300237918.56995</c:v>
                </c:pt>
                <c:pt idx="3">
                  <c:v>230160829228.53</c:v>
                </c:pt>
                <c:pt idx="4">
                  <c:v>500508737189.72998</c:v>
                </c:pt>
                <c:pt idx="5">
                  <c:v>235300328057.43002</c:v>
                </c:pt>
                <c:pt idx="6">
                  <c:v>497442172649.35004</c:v>
                </c:pt>
                <c:pt idx="7">
                  <c:v>133819774953.82996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F9-4DB5-AAFD-FC68E786B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9906799"/>
        <c:axId val="1626906175"/>
      </c:barChart>
      <c:catAx>
        <c:axId val="17299067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Mês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6906175"/>
        <c:crosses val="autoZero"/>
        <c:auto val="1"/>
        <c:lblAlgn val="ctr"/>
        <c:lblOffset val="100"/>
        <c:noMultiLvlLbl val="0"/>
      </c:catAx>
      <c:valAx>
        <c:axId val="162690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Vaor</a:t>
                </a:r>
                <a:r>
                  <a:rPr lang="pt-BR" baseline="0"/>
                  <a:t> em reais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9906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[Aline.xlsm]TABELA DINAMICA!Tabela dinâmica8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Valor Pago por mês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'TABELA DINAMICA'!$B$346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'TABELA DINAMICA'!$A$347:$A$355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'TABELA DINAMICA'!$B$347:$B$355</c:f>
              <c:numCache>
                <c:formatCode>"R$"\ #,##0.00</c:formatCode>
                <c:ptCount val="8"/>
                <c:pt idx="0">
                  <c:v>506732497022.98004</c:v>
                </c:pt>
                <c:pt idx="1">
                  <c:v>221169751959.97998</c:v>
                </c:pt>
                <c:pt idx="2">
                  <c:v>392850475406.71991</c:v>
                </c:pt>
                <c:pt idx="3">
                  <c:v>228961975605.13</c:v>
                </c:pt>
                <c:pt idx="4">
                  <c:v>475292747498.96997</c:v>
                </c:pt>
                <c:pt idx="5">
                  <c:v>226100946227.45004</c:v>
                </c:pt>
                <c:pt idx="6">
                  <c:v>529455930245.26984</c:v>
                </c:pt>
                <c:pt idx="7">
                  <c:v>255052558956.9201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6A-4C1F-B336-69BF7CF1B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9838191"/>
        <c:axId val="1718498879"/>
      </c:lineChart>
      <c:catAx>
        <c:axId val="17198381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Mês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8498879"/>
        <c:crosses val="autoZero"/>
        <c:auto val="1"/>
        <c:lblAlgn val="ctr"/>
        <c:lblOffset val="100"/>
        <c:noMultiLvlLbl val="0"/>
      </c:catAx>
      <c:valAx>
        <c:axId val="171849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Valor em reais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98381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$O$3" fmlaRange="BASE!$B$1:$G$1951" noThreeD="1" sel="0" val="0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1343025</xdr:colOff>
      <xdr:row>12</xdr:row>
      <xdr:rowOff>133351</xdr:rowOff>
    </xdr:from>
    <xdr:to>
      <xdr:col>4</xdr:col>
      <xdr:colOff>200025</xdr:colOff>
      <xdr:row>17</xdr:row>
      <xdr:rowOff>85725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Mês Ano">
              <a:extLst>
                <a:ext uri="{FF2B5EF4-FFF2-40B4-BE49-F238E27FC236}">
                  <a16:creationId xmlns:a16="http://schemas.microsoft.com/office/drawing/2014/main" id="{160677AA-D650-4FD4-B16F-7962842B4D6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An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0150" y="2419351"/>
              <a:ext cx="4457700" cy="9048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66675</xdr:colOff>
      <xdr:row>18</xdr:row>
      <xdr:rowOff>66675</xdr:rowOff>
    </xdr:from>
    <xdr:to>
      <xdr:col>19</xdr:col>
      <xdr:colOff>481013</xdr:colOff>
      <xdr:row>36</xdr:row>
      <xdr:rowOff>157163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131CF31-5DF7-4B00-8A4B-D2860AD65C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247650</xdr:colOff>
      <xdr:row>0</xdr:row>
      <xdr:rowOff>104774</xdr:rowOff>
    </xdr:from>
    <xdr:to>
      <xdr:col>14</xdr:col>
      <xdr:colOff>590550</xdr:colOff>
      <xdr:row>17</xdr:row>
      <xdr:rowOff>152399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Órgão Superior">
              <a:extLst>
                <a:ext uri="{FF2B5EF4-FFF2-40B4-BE49-F238E27FC236}">
                  <a16:creationId xmlns:a16="http://schemas.microsoft.com/office/drawing/2014/main" id="{6539185C-42E5-410A-B6B9-8CC5237E1E7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Órgão Superio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7650" y="104774"/>
              <a:ext cx="8877300" cy="3286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238125</xdr:colOff>
      <xdr:row>18</xdr:row>
      <xdr:rowOff>85724</xdr:rowOff>
    </xdr:from>
    <xdr:to>
      <xdr:col>9</xdr:col>
      <xdr:colOff>485775</xdr:colOff>
      <xdr:row>36</xdr:row>
      <xdr:rowOff>171449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3F9066D-CD8E-46FC-A9D6-9AA8CFF93B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323850</xdr:colOff>
      <xdr:row>0</xdr:row>
      <xdr:rowOff>95250</xdr:rowOff>
    </xdr:from>
    <xdr:to>
      <xdr:col>28</xdr:col>
      <xdr:colOff>533400</xdr:colOff>
      <xdr:row>17</xdr:row>
      <xdr:rowOff>123825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Órgão/Entidade Vinculada">
              <a:extLst>
                <a:ext uri="{FF2B5EF4-FFF2-40B4-BE49-F238E27FC236}">
                  <a16:creationId xmlns:a16="http://schemas.microsoft.com/office/drawing/2014/main" id="{A3B803E8-8FA0-4D2B-9C5F-F859EEEED49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Órgão/Entidade Vinculad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67850" y="95250"/>
              <a:ext cx="8134350" cy="3267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19</xdr:col>
      <xdr:colOff>581024</xdr:colOff>
      <xdr:row>18</xdr:row>
      <xdr:rowOff>104775</xdr:rowOff>
    </xdr:from>
    <xdr:to>
      <xdr:col>28</xdr:col>
      <xdr:colOff>514349</xdr:colOff>
      <xdr:row>36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79233AD-0A9C-4108-BEAC-0726A2A4A8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1</xdr:row>
          <xdr:rowOff>114300</xdr:rowOff>
        </xdr:from>
        <xdr:to>
          <xdr:col>11</xdr:col>
          <xdr:colOff>476250</xdr:colOff>
          <xdr:row>4</xdr:row>
          <xdr:rowOff>57150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BFC52029-0D73-40E7-83B0-D36E1148B6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495300</xdr:colOff>
          <xdr:row>6</xdr:row>
          <xdr:rowOff>0</xdr:rowOff>
        </xdr:from>
        <xdr:to>
          <xdr:col>15</xdr:col>
          <xdr:colOff>276225</xdr:colOff>
          <xdr:row>9</xdr:row>
          <xdr:rowOff>57150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E5431C57-4E4C-4B64-8F14-B8D4B9A56E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tec" refreshedDate="45169.897210648145" createdVersion="6" refreshedVersion="6" minRefreshableVersion="3" recordCount="1950" xr:uid="{E494F594-E724-4872-83FE-61BBA7B32227}">
  <cacheSource type="worksheet">
    <worksheetSource name="Tabela1"/>
  </cacheSource>
  <cacheFields count="8">
    <cacheField name="Mês Ano" numFmtId="17">
      <sharedItems containsSemiMixedTypes="0" containsNonDate="0" containsDate="1" containsString="0" minDate="2023-01-01T00:00:00" maxDate="2023-08-02T00:00:00" count="8">
        <d v="2023-07-01T00:00:00"/>
        <d v="2023-01-01T00:00:00"/>
        <d v="2023-03-01T00:00:00"/>
        <d v="2023-05-01T00:00:00"/>
        <d v="2023-06-01T00:00:00"/>
        <d v="2023-04-01T00:00:00"/>
        <d v="2023-08-01T00:00:00"/>
        <d v="2023-02-01T00:00:00"/>
      </sharedItems>
      <fieldGroup par="7" base="0">
        <rangePr groupBy="days" startDate="2023-01-01T00:00:00" endDate="2023-08-02T00:00:00"/>
        <groupItems count="368">
          <s v="&lt;01/01/2023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2/08/2023"/>
        </groupItems>
      </fieldGroup>
    </cacheField>
    <cacheField name="Órgão Superior" numFmtId="0">
      <sharedItems count="34">
        <s v="63000 - Advocacia-Geral da União"/>
        <s v="24000 - Ministério da Ciência, Tecnologia e Inovação"/>
        <s v="68000 - Ministério de Portos e Aeroportos"/>
        <s v="32000 - Ministério de Minas e Energia"/>
        <s v="36000 - Ministério da Saúde"/>
        <s v="39000 - Ministério dos Transportes"/>
        <s v="44000 - Ministério do Meio Ambiente e Mudança do Clima"/>
        <s v="42000 - Ministério da Cultura"/>
        <s v="41000 - Ministério das Comunicações"/>
        <s v="52000 - Ministério da Defesa"/>
        <s v="30000 - Ministério da Justiça e Segurança Pública"/>
        <s v="25201 - Banco Central do Brasil - Orçamento Fiscal e Seguridade Social"/>
        <s v="26000 - Ministério da Educação"/>
        <s v="25000 - Ministério da Fazenda"/>
        <s v="56000 - Ministério das Cidades"/>
        <s v="53000 - Ministério da Integração e do Desenvolvimento Regional"/>
        <s v="49000 - Ministério do Desenvolvimento Agrário e Agricultura Familiar"/>
        <s v="37000 - Controladoria-Geral da União"/>
        <s v="20000 - Presidência da República"/>
        <s v="22000 - Ministério da Agricultura e Pecuária"/>
        <s v="35000 - Ministério das Relações Exteriores"/>
        <s v="46000 - Ministério da Gestão e da Inovação em Serviços Públicos"/>
        <s v="47000 - Ministério do Planejamento e Orçamento"/>
        <s v="40000 - Ministério do Trabalho e Emprego"/>
        <s v="84000 - Ministério dos Povos Indígenas"/>
        <s v="33000 - Ministério da Previdência Social"/>
        <s v="54000 - Ministério do Turismo"/>
        <s v="55000 - Ministério do Desenvolvimento e Assistência Social, Família e Combate à Fome"/>
        <s v="81000 - Ministério dos Direitos Humanos e Cidadania"/>
        <s v="28000 - Ministério do Desenvolvimento, Indústria, Comércio e Serviços"/>
        <s v="67000 - Ministério da Igualdade Racial"/>
        <s v="58000 - Ministério da Pesca e Aquicultura"/>
        <s v="65000 - Ministério das Mulheres"/>
        <s v="51000 - Ministério do Esporte"/>
      </sharedItems>
    </cacheField>
    <cacheField name="Órgão/Entidade Vinculada" numFmtId="0">
      <sharedItems count="252">
        <s v="63000 - Advocacia-Geral da União - Unidades com vínculo direto"/>
        <s v="20402 - Agência Espacial Brasileira"/>
        <s v="62201 - Agência Nacional de Aviação Civil"/>
        <s v="32210 - Agência Nacional de Energia Elétrica"/>
        <s v="32396 - Agência Nacional de Mineração"/>
        <s v="36213 - Agência Nacional de Saúde Suplementar"/>
        <s v="68201 - Agência Nacional de Transportes Aquaviários"/>
        <s v="39250 - Agência Nacional de Transportes Terrestres"/>
        <s v="36212 - Agência Nacional de Vigilância Sanitária"/>
        <s v="44205 - Agência Nacional de Águas"/>
        <s v="20203 - Agência Nacional do Cinema"/>
        <s v="32205 - Agência Nacional do Petróleo, Gás Natural e Biocombustíveis"/>
        <s v="41231 - Agêncial Nacional de Telecomunicações"/>
        <s v="52233 - Amazônia Azul Tecnologia de Defesa S.A."/>
        <s v="30212 - Autoridade Nacional de Proteção de Dados"/>
        <s v="25201 - Banco Central do Brasil - Orçamento Fiscal e Seguridade Social - Unidades com vínculo direto"/>
        <s v="31280 - Caixa de Construções de Casas para o Pessoal da Marinha do Brasil"/>
        <s v="52211 - Caixa de Financiamento Imobiliário da Aeronáutica"/>
        <s v="26256 - Centro Federal de Educação Tecnológica Celso Suckow da Fonseca"/>
        <s v="26257 - Centro Federal de Educação Tecnológica de Minas Gerais"/>
        <s v="24209 - Centro Nacional de Tecnologia Eletrônica Avançada S.A."/>
        <s v="26201 - Colégio Pedro II"/>
        <s v="52111 - Comando da Aeronáutica"/>
        <s v="52131 - Comando da Marinha"/>
        <s v="52121 - Comando do Exército"/>
        <s v="25203 - Comissão de Valores Mobiliários"/>
        <s v="20301 - Comissão Nacional de Energia Nuclear"/>
        <s v="29214 - Companhia Brasileira de Trens Urbanos"/>
        <s v="22203 - Companhia de Desenvolvimento dos Vales do São Francisco e do Parnaíba"/>
        <s v="29208 - Companhia de Pesquisa de Recursos Minerais"/>
        <s v="22211 - Companhia Nacional de Abastecimento"/>
        <s v="30211 - Conselho Administrativo de Defesa Econômica"/>
        <s v="20501 - Conselho Nacional de Desenvolvimento Científico e Tecnológico"/>
        <s v="37000 - Controladoria-Geral da União - Unidades com vínculo direto"/>
        <s v="39252 - Departamento Nacional de Infraestrutura de Transportes"/>
        <s v="22204 - Departamento Nacional de Obras Contra as Secas"/>
        <s v="20415 - Empresa Brasil de Comunicação"/>
        <s v="22202 - Empresa Brasileira de Pesquisa Agropecuária"/>
        <s v="26443 - Empresa Brasileira de Serviços Hospitalares"/>
        <s v="32314 - Empresa de Pesquisa Energética"/>
        <s v="29205 - Empresa de Trens Urbanos de Porto Alegre"/>
        <s v="20502 - Financiadora de Estudos e Projetos"/>
        <s v="35201 - Fundação Alexandre de Gusmão"/>
        <s v="20404 - Fundação Biblioteca Nacional"/>
        <s v="20403 - Fundação Casa de Rui Barbosa"/>
        <s v="26291 - Fundação Coordenação de Aperfeiçoamento de Pessoal de Nível Superior"/>
        <s v="20408 - Fundação Cultural Palmares"/>
        <s v="20202 - Fundação Escola Nacional de Administração Pública"/>
        <s v="25205 - Fundação Instituto Brasileiro de Geografia e Estatística"/>
        <s v="26292 - Fundação Joaquim Nabuco"/>
        <s v="37201 - Fundação Jorge Duprat Figueiredo, de Segurança e Medicina do Trabalho"/>
        <s v="20412 - Fundação Nacional de Artes"/>
        <s v="36211 - Fundação Nacional de Saúde"/>
        <s v="30202 - Fundação Nacional do Índio"/>
        <s v="30205 - Fundação Nacional do Índio - Patrimônio Indígena"/>
        <s v="36201 - Fundação Oswaldo Cruz"/>
        <s v="52222 - Fundação Osório"/>
        <s v="26271 - Fundação Universidade de Brasília"/>
        <s v="26270 - Fundação Universidade do Amazonas"/>
        <s v="26272 - Fundação Universidade do Maranhão"/>
        <s v="26350 - Fundação Universidade Federal da Grande Dourados"/>
        <s v="26284 - Fundação Universidade Federal de Ciências da Saúde de Porto Alegre"/>
        <s v="26278 - Fundação Universidade Federal de Pelotas"/>
        <s v="26268 - Fundação Universidade Federal de Rondônia"/>
        <s v="26281 - Fundação Universidade Federal de Sergipe"/>
        <s v="26280 - Fundação Universidade Federal de São Carlos"/>
        <s v="26285 - Fundação Universidade Federal de São João Del-Rei"/>
        <s v="26274 - Fundação Universidade Federal de Uberlândia"/>
        <s v="26352 - Fundação Universidade Federal do ABC"/>
        <s v="26275 - Fundação Universidade Federal do Acre"/>
        <s v="26286 - Fundação Universidade Federal do Amapá"/>
        <s v="26276 - Fundação Universidade Federal do Mato Grosso"/>
        <s v="26283 - Fundação Universidade Federal do Mato Grosso do Sul"/>
        <s v="26266 - Fundação Universidade Federal do Pampa"/>
        <s v="26279 - Fundação Universidade Federal do Piauí"/>
        <s v="26251 - Fundação Universidade Federal do Tocantins"/>
        <s v="26230 - Fundação Universidade Federal do Vale do São Francisco"/>
        <s v="53902 - Fundo Constitucional de Financiamento do Centro-Oeste"/>
        <s v="53903 - Fundo Constitucional de Financiamento do Nordeste"/>
        <s v="53901 - Fundo Constitucional de Financiamento do Norte"/>
        <s v="25915 - Fundo Constitucional do Distrito Federal"/>
        <s v="49901 - Fundo da Marinha Mercante"/>
        <s v="38901 - Fundo de Amparo ao Trabalhador"/>
        <s v="25901 - Fundo de Compensação de Variações Salariais"/>
        <s v="22905 - Fundo de Defesa da Economia Cafeeira"/>
        <s v="30905 - Fundo de Defesa de Direitos Difusos"/>
        <s v="74919 - Fundo de Desenvolvimento do Centro-Oeste"/>
        <s v="74918 - Fundo de Desenvolvimento do Nordeste"/>
        <s v="25904 - Fundo de Estabilidade do Seguro Rural"/>
        <s v="25914 - Fundo de Garantia à Exportação"/>
        <s v="20116 - Fundo de Imprensa Nacional"/>
        <s v="49001 - Fundo de Terras"/>
        <s v="52904 - Fundo do Exército"/>
        <s v="37904 - Fundo do Regime Geral da Previdência Social"/>
        <s v="54901 - Fundo Geral de Turismo"/>
        <s v="30912 - Fundo Nacional Antidrogas"/>
        <s v="55001 - Fundo Nacional de Assistência Social"/>
        <s v="62901 - Fundo Nacional de Aviação Civil"/>
        <s v="34902 - Fundo Nacional de Cultura"/>
        <s v="20924 - Fundo Nacional de Desenvolvimento"/>
        <s v="24901 - Fundo Nacional de Desenvolvimento Científico e Tecnológico"/>
        <s v="26298 - Fundo Nacional de Desenvolvimento da Educação"/>
        <s v="56902 - Fundo Nacional de Habitação de Interesse Social"/>
        <s v="30911 - Fundo Nacional de Segurança Pública"/>
        <s v="44204 - Fundo Nacional do Meio Ambiente"/>
        <s v="30913 - Fundo Nacional para a Criança e o Adolescente"/>
        <s v="41903 - Fundo para o Desenvolvimento Tecnológico das Telecomunicações"/>
        <s v="30907 - Fundo Penitenciário Nacional"/>
        <s v="60000 - Gabinete da Vice-Presidência da República"/>
        <s v="26294 - Hospital de Clínicas de Porto Alegre"/>
        <s v="36210 - Hospital Nossa Senhora da Conceição S.A."/>
        <s v="52221 - Indústria de Material Bélico do Brasil"/>
        <s v="42207 - Instituto Brasileiro de Museus"/>
        <s v="20701 - Instituto Brasileiro do Meio Ambiente e dos Recursos Naturais Renováveis"/>
        <s v="44207 - Instituto Chico Mendes de Conservação da Biodiversidade"/>
        <s v="61201 - Instituto de Pesquisa Econômica Aplicada"/>
        <s v="44206 - Instituto de Pesquisas Jardim Botânico do Rio de Janeiro"/>
        <s v="20411 - Instituto do Patrimônio Histórico e Artístico Nacional"/>
        <s v="26404 - Instituto Federal Baiano"/>
        <s v="26422 - Instituto Federal Catarinense"/>
        <s v="26427 - Instituto Federal da Bahia"/>
        <s v="26417 - Instituto Federal da Paraíba"/>
        <s v="26402 - Instituto Federal de Alagoas"/>
        <s v="26428 - Instituto Federal de Brasília"/>
        <s v="26429 - Instituto Federal de Educação, Ciência e Tecnologia de Goiás"/>
        <s v="26409 - Instituto Federal de Minas Gerais"/>
        <s v="26418 - Instituto Federal de Pernambuco"/>
        <s v="26421 - Instituto Federal de Rondônia"/>
        <s v="26437 - Instituto Federal de Roraima"/>
        <s v="26438 - Instituto Federal de Santa Catarina"/>
        <s v="26423 - Instituto Federal de Sergipe"/>
        <s v="26439 - Instituto Federal de São Paulo"/>
        <s v="26425 - Instituto Federal do Acre"/>
        <s v="26426 - Instituto Federal do Amapá"/>
        <s v="26403 - Instituto Federal do Amazonas"/>
        <s v="26405 - Instituto Federal do Ceará"/>
        <s v="26406 - Instituto Federal do Espírito Santo"/>
        <s v="26408 - Instituto Federal do Maranhão"/>
        <s v="26414 - Instituto Federal do Mato Grosso"/>
        <s v="26415 - Instituto Federal do Mato Grosso do Sul"/>
        <s v="26410 - Instituto Federal do Norte de Minas Gerais"/>
        <s v="26432 - Instituto Federal do Paraná"/>
        <s v="26416 - Instituto Federal do Pará"/>
        <s v="26431 - Instituto Federal do Piauí"/>
        <s v="26433 - Instituto Federal do Rio de Janeiro"/>
        <s v="26435 - Instituto Federal do Rio Grande do Norte"/>
        <s v="26419 - Instituto Federal do Rio Grande do Sul"/>
        <s v="26430 - Instituto Federal do Sertão de Pernambuco"/>
        <s v="26411 - Instituto Federal do Sudeste de Minas Gerais"/>
        <s v="26412 - Instituto Federal do Sul de Minas Gerais"/>
        <s v="26424 - Instituto Federal do Tocantins"/>
        <s v="26413 - Instituto Federal do Triângulo Mineiro"/>
        <s v="26420 - Instituto Federal Farroupilha"/>
        <s v="26434 - Instituto Federal Fluminense"/>
        <s v="26407 - Instituto Federal Goiano"/>
        <s v="26436 - Instituto Federal Sul-rio-grandense"/>
        <s v="30204 - Instituto Nacional da Propriedade Industrial"/>
        <s v="22201 - Instituto Nacional de Colonização e Reforma Agrária"/>
        <s v="26290 - Instituto Nacional de Estudos e Pesquisas Educacionais Anísio Teixeira"/>
        <s v="30203 - Instituto Nacional de Metrologia, Qualidade e Tecnologia"/>
        <s v="24208 - Instituto Nacional de Tecnologia da Informação"/>
        <s v="37202 - Instituto Nacional do Seguro Social"/>
        <s v="22000 - Ministério da Agricultura e Pecuária - Unidades com vínculo direto"/>
        <s v="24000 - Ministério da Ciência, Tecnologia e Inovação - Unidades com vínculo direto"/>
        <s v="42000 - Ministério da Cultura - Unidades com vínculo direto"/>
        <s v="52000 - Ministério da Defesa - Unidades com vínculo direto"/>
        <s v="26000 - Ministério da Educação - Unidades com vínculo direto"/>
        <s v="25000 - Ministério da Fazenda - Unidades com vínculo direto"/>
        <s v="46000 - Ministério da Gestão e da Inovação em Serviços Públicos - Unidades com vínculo direto"/>
        <s v="67000 - Ministério da Igualdade Racial - Unidades com vínculo direto"/>
        <s v="53000 - Ministério da Integração e do Desenvolvimento Regional - Unidades com vínculo direto"/>
        <s v="30000 - Ministério da Justiça e Segurança Pública - Unidades com vínculo direto"/>
        <s v="58000 - Ministério da Pesca e Aquicultura - Unidades com vínculo direto"/>
        <s v="33000 - Ministério da Previdência Social - Unidades com vínculo direto"/>
        <s v="36000 - Ministério da Saúde - Unidades com vínculo direto"/>
        <s v="56000 - Ministério das Cidades - Unidades com vínculo direto"/>
        <s v="41000 - Ministério das Comunicações - Unidades com vínculo direto"/>
        <s v="65000 - Ministério das Mulheres - Unidades com vínculo direto"/>
        <s v="35000 - Ministério das Relações Exteriores - Unidades com vínculo direto"/>
        <s v="32000 - Ministério de Minas e Energia - Unidades com vínculo direto"/>
        <s v="49000 - Ministério do Desenvolvimento Agrário e Agricultura Familiar - Unidades com vínculo direto"/>
        <s v="55000 - Ministério do Desenvolvimento e Assistência Social, Família e Combate à Fome - Unidades com vínculo "/>
        <s v="28000 - Ministério do Desenvolvimento, Indústria, Comércio e Serviços - Unidades com vínculo direto"/>
        <s v="51000 - Ministério do Esporte - Unidades com vínculo direto"/>
        <s v="44000 - Ministério do Meio Ambiente e Mudança do Clima - Unidades com vínculo direto"/>
        <s v="47000 - Ministério do Planejamento e Orçamento - Unidades com vínculo direto"/>
        <s v="40000 - Ministério do Trabalho e Emprego - Unidades com vínculo direto"/>
        <s v="54000 - Ministério do Turismo - Unidades com vínculo direto"/>
        <s v="81000 - Ministério dos Direitos Humanos e Cidadania - Unidades com vínculo direto"/>
        <s v="39000 - Ministério dos Transportes - Unidades com vínculo direto"/>
        <s v="20302 - Nuclebrás Equipamentos Pesados S.A."/>
        <s v="30108 - Polícia Federal"/>
        <s v="30802 - Polícia Rodoviária Federal"/>
        <s v="20101 - Presidência da República"/>
        <s v="44208 - Serviço Florestal Brasileiro"/>
        <s v="20603 - Superintendência da Zona Franca de Manaus"/>
        <s v="53207 - Superintendência de Desenvolvimento do Centro-Oeste"/>
        <s v="25208 - Superintendência de Seguros Privados"/>
        <s v="53202 - Superintendência do Desenvolvimento da Amazônia"/>
        <s v="53203 - Superintendência do Desenvolvimento do Nordeste"/>
        <s v="33206 - Superintendência Nacional de Previdência Complementar"/>
        <s v="24216 - Telecomunicações Brasileiras S.A."/>
        <s v="26442 - Universidade da Integração Internacional da Lusofonia Afro-Brasileira"/>
        <s v="26232 - Universidade Federal da Bahia"/>
        <s v="26440 - Universidade Federal da Fronteira Sul"/>
        <s v="26267 - Universidade Federal da Integração Latino-Americana"/>
        <s v="26240 - Universidade Federal da Paraíba"/>
        <s v="26231 - Universidade Federal de Alagoas"/>
        <s v="26260 - Universidade Federal de Alfenas"/>
        <s v="26252 - Universidade Federal de Campina Grande"/>
        <s v="26452 - Universidade Federal de Catalão"/>
        <s v="26235 - Universidade Federal de Goiás"/>
        <s v="26261 - Universidade Federal de Itajubá"/>
        <s v="26453 - Universidade Federal de Jataí"/>
        <s v="26237 - Universidade Federal de Juiz de Fora"/>
        <s v="26263 - Universidade Federal de Lavras"/>
        <s v="26238 - Universidade Federal de Minas Gerais"/>
        <s v="26277 - Universidade Federal de Ouro Preto"/>
        <s v="26242 - Universidade Federal de Pernambuco"/>
        <s v="26454 - Universidade Federal de Rondonópolis"/>
        <s v="26250 - Universidade Federal de Roraima"/>
        <s v="26246 - Universidade Federal de Santa Catarina"/>
        <s v="26247 - Universidade Federal de Santa Maria"/>
        <s v="26262 - Universidade Federal de São Paulo"/>
        <s v="26282 - Universidade Federal de Viçosa"/>
        <s v="26456 - Universidade Federal do Agreste de Pernambuco"/>
        <s v="26449 - Universidade Federal do Cariri"/>
        <s v="26233 - Universidade Federal do Ceará"/>
        <s v="26455 - Universidade Federal do Delta do Parnaíba"/>
        <s v="26234 - Universidade Federal do Espírito Santo"/>
        <s v="26269 - Universidade Federal do Estado do Rio de Janeiro"/>
        <s v="26457 - Universidade Federal do Norte do Tocantins"/>
        <s v="26447 - Universidade Federal do Oeste da Bahia"/>
        <s v="26441 - Universidade Federal do Oeste do Pará"/>
        <s v="26241 - Universidade Federal do Paraná"/>
        <s v="26239 - Universidade Federal do Pará"/>
        <s v="26351 - Universidade Federal do Recôncavo da Bahia"/>
        <s v="26245 - Universidade Federal do Rio de Janeiro"/>
        <s v="26273 - Universidade Federal do Rio Grande"/>
        <s v="26243 - Universidade Federal do Rio Grande do Norte"/>
        <s v="26244 - Universidade Federal do Rio Grande do Sul"/>
        <s v="26450 - Universidade Federal do Sul da Bahia"/>
        <s v="26448 - Universidade Federal do Sul e Sudeste do Pará"/>
        <s v="26254 - Universidade Federal do Triângulo Mineiro"/>
        <s v="26255 - Universidade Federal dos Vales do Jequitinhonha e Mucuri"/>
        <s v="26236 - Universidade Federal Fluminense"/>
        <s v="26253 - Universidade Federal Rural da Amazônia"/>
        <s v="26248 - Universidade Federal Rural de Pernambuco"/>
        <s v="26249 - Universidade Federal Rural do Rio de Janeiro"/>
        <s v="26264 - Universidade Federal Rural do Semi-Árido"/>
        <s v="26258 - Universidade Tecnológica Federal do Paraná"/>
        <s v="29209 - VALEC Engenharia, Construções e Ferrovias S.A."/>
      </sharedItems>
    </cacheField>
    <cacheField name="Valor Empenhado" numFmtId="0">
      <sharedItems containsSemiMixedTypes="0" containsString="0" containsNumber="1" minValue="-1436803433.72" maxValue="974651554946.55005"/>
    </cacheField>
    <cacheField name="Valor Liquidado" numFmtId="0">
      <sharedItems containsSemiMixedTypes="0" containsString="0" containsNumber="1" minValue="-5598631.6299999999" maxValue="457589582165.66998" count="1895">
        <n v="331591044.69999999"/>
        <n v="285598924.52999997"/>
        <n v="311396594.87"/>
        <n v="340137876.44999999"/>
        <n v="409787217.74000001"/>
        <n v="314669151.38"/>
        <n v="42438832.710000001"/>
        <n v="302792418.5"/>
        <n v="2344816.91"/>
        <n v="3230363.96"/>
        <n v="2520845.15"/>
        <n v="1285893.53"/>
        <n v="1380666.52"/>
        <n v="3073139.46"/>
        <n v="1378711.16"/>
        <n v="1790319.23"/>
        <n v="33896936.280000001"/>
        <n v="39402952.890000001"/>
        <n v="41160072.840000004"/>
        <n v="5795679.8700000001"/>
        <n v="34060433.950000003"/>
        <n v="47636709.359999999"/>
        <n v="37249463.060000002"/>
        <n v="40065856.5"/>
        <n v="305024718.38"/>
        <n v="572092668.69000006"/>
        <n v="571307041.71000004"/>
        <n v="653844507.10000002"/>
        <n v="253950780.88999999"/>
        <n v="367933825.02999997"/>
        <n v="225120844.91"/>
        <n v="66093873.560000002"/>
        <n v="5473819.9299999997"/>
        <n v="386686455.74000001"/>
        <n v="642696516.90999997"/>
        <n v="167265150.81999999"/>
        <n v="462615347.12"/>
        <n v="401123860.12"/>
        <n v="180343471.00999999"/>
        <n v="34642188.890000001"/>
        <n v="15271675.08"/>
        <n v="25790809.23"/>
        <n v="18136066.600000001"/>
        <n v="5108684.4400000004"/>
        <n v="25656576.890000001"/>
        <n v="29717157.5"/>
        <n v="20703014.280000001"/>
        <n v="22359763.260000002"/>
        <n v="9185717.8399999999"/>
        <n v="10715381.470000001"/>
        <n v="13075360.16"/>
        <n v="12207125.26"/>
        <n v="11435883.58"/>
        <n v="2368480.2799999998"/>
        <n v="13318303.92"/>
        <n v="13938678.15"/>
        <n v="43314980.670000002"/>
        <n v="23515479.530000001"/>
        <n v="49262748.009999998"/>
        <n v="32873219.649999999"/>
        <n v="21614038.620000001"/>
        <n v="25208412.809999999"/>
        <n v="43410054.049999997"/>
        <n v="46311175.859999999"/>
        <n v="10572961.199999999"/>
        <n v="60403953.18"/>
        <n v="81695926.180000007"/>
        <n v="53304618.200000003"/>
        <n v="54787268.5"/>
        <n v="50037308.68"/>
        <n v="62083832.899999999"/>
        <n v="56639560.770000003"/>
        <n v="10913892.939999999"/>
        <n v="14970444.32"/>
        <n v="33849612.579999998"/>
        <n v="51750208.82"/>
        <n v="15597508.060000001"/>
        <n v="8682475.9299999997"/>
        <n v="42590310.590000004"/>
        <n v="28908118.489999998"/>
        <n v="7845066.1100000003"/>
        <n v="10176401.77"/>
        <n v="8939080.5099999998"/>
        <n v="10959931.310000001"/>
        <n v="199984985.00999999"/>
        <n v="210466513.88"/>
        <n v="203501892.09999999"/>
        <n v="9157250.1999999993"/>
        <n v="7417031967.2600002"/>
        <n v="752979799.97000003"/>
        <n v="3151081801.48"/>
        <n v="5328341726.04"/>
        <n v="3027529953.9400001"/>
        <n v="2892659310.8200002"/>
        <n v="20873960.739999998"/>
        <n v="6227196372.1999998"/>
        <n v="32295890.530000001"/>
        <n v="51972056.93"/>
        <n v="39972731.759999998"/>
        <n v="45726741.439999998"/>
        <n v="42024620.060000002"/>
        <n v="35771016.43"/>
        <n v="44576305.340000004"/>
        <n v="8341382.9000000004"/>
        <n v="38425081.020000003"/>
        <n v="10301057.35"/>
        <n v="27705502.010000002"/>
        <n v="36132393.299999997"/>
        <n v="30104446.18"/>
        <n v="21708274.379999999"/>
        <n v="35240005.859999999"/>
        <n v="39644578.710000001"/>
        <n v="261109.44"/>
        <n v="259534.02"/>
        <n v="258989.86"/>
        <n v="289099.23"/>
        <n v="280870.78000000003"/>
        <n v="284341304.63"/>
        <n v="326452882.64999998"/>
        <n v="283004398.07999998"/>
        <n v="296849401.10000002"/>
        <n v="18102932.710000001"/>
        <n v="386042513.98000002"/>
        <n v="320278911.13999999"/>
        <n v="323497781.47000003"/>
        <n v="8769470.4499999993"/>
        <n v="10888934.32"/>
        <n v="6995555.1699999999"/>
        <n v="8017294.7699999996"/>
        <n v="10719226.75"/>
        <n v="11049937.949999999"/>
        <n v="5872797.4299999997"/>
        <n v="8659463.8900000006"/>
        <n v="414999.17"/>
        <n v="127409.58"/>
        <n v="121806.64"/>
        <n v="115211.96"/>
        <n v="612738.39"/>
        <n v="348497.54"/>
        <n v="540958.23"/>
        <n v="418175.04"/>
        <n v="45754758.270000003"/>
        <n v="35010997.990000002"/>
        <n v="32180752.84"/>
        <n v="30530931.949999999"/>
        <n v="32596707.219999999"/>
        <n v="33457776.079999998"/>
        <n v="36214547.609999999"/>
        <n v="3351400.85"/>
        <n v="37721663.049999997"/>
        <n v="36088502.43"/>
        <n v="45109840.899999999"/>
        <n v="43921380.979999997"/>
        <n v="3475380.95"/>
        <n v="39762612.859999999"/>
        <n v="41270119.450000003"/>
        <n v="54777468.359999999"/>
        <n v="1725772.13"/>
        <n v="2251460.75"/>
        <n v="3461222.58"/>
        <n v="2894715.38"/>
        <n v="1703961.69"/>
        <n v="3389427.71"/>
        <n v="3762795.22"/>
        <n v="5137879.2699999996"/>
        <n v="51069704.189999998"/>
        <n v="57672470.810000002"/>
        <n v="60828278.009999998"/>
        <n v="54303510.009999998"/>
        <n v="77644843.810000002"/>
        <n v="53822259.899999999"/>
        <n v="4316217.29"/>
        <n v="58830640.579999998"/>
        <n v="3194173500.5700002"/>
        <n v="1787965673.99"/>
        <n v="355166689.06999999"/>
        <n v="1928757725.5999999"/>
        <n v="1743084475.02"/>
        <n v="2092034351.02"/>
        <n v="2265624667.3899999"/>
        <n v="2069764900.8599999"/>
        <n v="2089411615.8"/>
        <n v="1433968474.3"/>
        <n v="3471278773.6799998"/>
        <n v="2451864666.8200002"/>
        <n v="2319856976.7600002"/>
        <n v="2089182528.3399999"/>
        <n v="2163627408.9899998"/>
        <n v="2153637339.1199999"/>
        <n v="3975071264.3800001"/>
        <n v="911114326.01999998"/>
        <n v="3884159314.75"/>
        <n v="3744199456.5799999"/>
        <n v="3993101153.1799998"/>
        <n v="3686600151.8400002"/>
        <n v="3788483189.1700001"/>
        <n v="5510297429.8599997"/>
        <n v="18919346.359999999"/>
        <n v="488848.74"/>
        <n v="15328863.82"/>
        <n v="16751227.09"/>
        <n v="16216145.49"/>
        <n v="16655606.619999999"/>
        <n v="16271052.16"/>
        <n v="16335170.869999999"/>
        <n v="62907199.57"/>
        <n v="70688761.709999993"/>
        <n v="83137295.180000007"/>
        <n v="18382517.23"/>
        <n v="70115184.069999993"/>
        <n v="101101391.48"/>
        <n v="88588195.930000007"/>
        <n v="59596094.270000003"/>
        <n v="95670251.760000005"/>
        <n v="62532635.880000003"/>
        <n v="66463070.780000001"/>
        <n v="91445574.480000004"/>
        <n v="77533328.670000002"/>
        <n v="82407646.870000005"/>
        <n v="93952503.430000007"/>
        <n v="99425053.299999997"/>
        <n v="43774080.939999998"/>
        <n v="71032217.609999999"/>
        <n v="50177788.240000002"/>
        <n v="87582170"/>
        <n v="60293445.979999997"/>
        <n v="66424409.859999999"/>
        <n v="24393224.379999999"/>
        <n v="46221596.210000001"/>
        <n v="16790981.98"/>
        <n v="31965059.559999999"/>
        <n v="46713594.640000001"/>
        <n v="47366823.75"/>
        <n v="33066861.68"/>
        <n v="38219147.219999999"/>
        <n v="44822406.450000003"/>
        <n v="51417738.859999999"/>
        <n v="199978576.53999999"/>
        <n v="87262309.900000006"/>
        <n v="48576277.100000001"/>
        <n v="88501222.099999994"/>
        <n v="93624451.689999998"/>
        <n v="181706877.18000001"/>
        <n v="97457618.989999995"/>
        <n v="81409624.390000001"/>
        <n v="3014496.85"/>
        <n v="5645867.4299999997"/>
        <n v="3067256.93"/>
        <n v="1277883.3400000001"/>
        <n v="4756612.5999999996"/>
        <n v="3635979.81"/>
        <n v="1655182.79"/>
        <n v="4946143.74"/>
        <n v="17807154.690000001"/>
        <n v="130384447.29000001"/>
        <n v="160817137.06999999"/>
        <n v="224081910.27000001"/>
        <n v="120240615.58"/>
        <n v="135471927.91999999"/>
        <n v="52689423.280000001"/>
        <n v="14682279.109999999"/>
        <n v="94501939.189999998"/>
        <n v="102274219.69"/>
        <n v="87515379.530000001"/>
        <n v="7432309.1299999999"/>
        <n v="93995107.170000002"/>
        <n v="88438208.780000001"/>
        <n v="124617840.15000001"/>
        <n v="100384350.93000001"/>
        <n v="60478134.810000002"/>
        <n v="736879236.40999997"/>
        <n v="939006010.32000005"/>
        <n v="998166193.29999995"/>
        <n v="1124087989.3800001"/>
        <n v="238128258.86000001"/>
        <n v="394049764.87"/>
        <n v="78746777.269999996"/>
        <n v="51688750.700000003"/>
        <n v="67480790.030000001"/>
        <n v="61039172.649999999"/>
        <n v="116176324.11"/>
        <n v="51087460.079999998"/>
        <n v="9795069.3300000001"/>
        <n v="84966504.25"/>
        <n v="67222325.329999998"/>
        <n v="39392190.920000002"/>
        <n v="44705837.649999999"/>
        <n v="46077431.869999997"/>
        <n v="82548692.629999995"/>
        <n v="43167612.75"/>
        <n v="33879204.189999998"/>
        <n v="42734068.200000003"/>
        <n v="12978285.83"/>
        <n v="558629757.46000004"/>
        <n v="271897006.47000003"/>
        <n v="353905256.39999998"/>
        <n v="241836732.72999999"/>
        <n v="267943784.88999999"/>
        <n v="253455369.47999999"/>
        <n v="252471701.03"/>
        <n v="229844211.97"/>
        <n v="444662730.94"/>
        <n v="782662433.62"/>
        <n v="702958688.76999998"/>
        <n v="618215346.87"/>
        <n v="774738153.54999995"/>
        <n v="275415571.38"/>
        <n v="694296150.58000004"/>
        <n v="911698625.03999996"/>
        <n v="2590300.75"/>
        <n v="12831376.880000001"/>
        <n v="7523133.6600000001"/>
        <n v="8508835.0299999993"/>
        <n v="7752112.3700000001"/>
        <n v="9526365.2799999993"/>
        <n v="8311907.5999999996"/>
        <n v="11523411.91"/>
        <n v="23723359.75"/>
        <n v="18321386.129999999"/>
        <n v="47172026.600000001"/>
        <n v="25613384.050000001"/>
        <n v="22064246.75"/>
        <n v="28035246.41"/>
        <n v="11388344.310000001"/>
        <n v="25159990.760000002"/>
        <n v="29155.61"/>
        <n v="1117652.1100000001"/>
        <n v="1288893.28"/>
        <n v="29404.42"/>
        <n v="0"/>
        <n v="95097.33"/>
        <n v="18649.560000000001"/>
        <n v="878813.36"/>
        <n v="383831.64"/>
        <n v="981216.33"/>
        <n v="1299248"/>
        <n v="616372.91"/>
        <n v="1169360.1100000001"/>
        <n v="1130997.26"/>
        <n v="899723.09"/>
        <n v="5606860.7400000002"/>
        <n v="7754346.9100000001"/>
        <n v="9622092.8399999999"/>
        <n v="3978215.63"/>
        <n v="5482960.9400000004"/>
        <n v="9392172.3599999994"/>
        <n v="8570917.8000000007"/>
        <n v="10716300.789999999"/>
        <n v="3828075.79"/>
        <n v="2977091.94"/>
        <n v="3329570.57"/>
        <n v="3520643.24"/>
        <n v="4871695.51"/>
        <n v="4009852.89"/>
        <n v="3611236.9"/>
        <n v="565212.05000000005"/>
        <n v="369907085.43000001"/>
        <n v="297795759.13"/>
        <n v="25607586.68"/>
        <n v="534845511.35000002"/>
        <n v="140667703.88999999"/>
        <n v="546113665.55999994"/>
        <n v="334726366.62"/>
        <n v="454930685.30000001"/>
        <n v="403625.86"/>
        <n v="1449504.99"/>
        <n v="1473658.41"/>
        <n v="1426584.07"/>
        <n v="1349391.28"/>
        <n v="1508073.02"/>
        <n v="643614.38"/>
        <n v="596577.81999999995"/>
        <n v="5349338.46"/>
        <n v="7550791.5499999998"/>
        <n v="4467261.25"/>
        <n v="7308895.25"/>
        <n v="3886006.62"/>
        <n v="4013793.46"/>
        <n v="6463412.8700000001"/>
        <n v="3837344.22"/>
        <n v="298550702.67000002"/>
        <n v="204175539.50999999"/>
        <n v="21094763.989999998"/>
        <n v="234421029.03999999"/>
        <n v="269133600.06"/>
        <n v="241169057.74000001"/>
        <n v="219939372.30000001"/>
        <n v="210100373.88999999"/>
        <n v="10029106.470000001"/>
        <n v="2422562.87"/>
        <n v="9850834.5600000005"/>
        <n v="13722307.300000001"/>
        <n v="10794852.58"/>
        <n v="10855693.720000001"/>
        <n v="9026367.5500000007"/>
        <n v="8573437.9199999999"/>
        <n v="7076535.1900000004"/>
        <n v="220550.04"/>
        <n v="7702676.0499999998"/>
        <n v="7226140.1600000001"/>
        <n v="7519978.2300000004"/>
        <n v="7064923.6699999999"/>
        <n v="10529851.890000001"/>
        <n v="7013034.9800000004"/>
        <n v="4279725.33"/>
        <n v="11020785.640000001"/>
        <n v="8602128.3200000003"/>
        <n v="8452772.2799999993"/>
        <n v="9658883.9600000009"/>
        <n v="3940472.14"/>
        <n v="4646857.16"/>
        <n v="7511973.8099999996"/>
        <n v="-392.34"/>
        <n v="183157934.97999999"/>
        <n v="139993241.75999999"/>
        <n v="121449564.38"/>
        <n v="134573018.91"/>
        <n v="133836310.76000001"/>
        <n v="122856733.23999999"/>
        <n v="139273215.03999999"/>
        <n v="47414668.579999998"/>
        <n v="42270789.170000002"/>
        <n v="64280787.490000002"/>
        <n v="42001209.210000001"/>
        <n v="37535831.530000001"/>
        <n v="32096902.370000001"/>
        <n v="15549545.289999999"/>
        <n v="48422446.899999999"/>
        <n v="124279.56"/>
        <n v="116743.58"/>
        <n v="145192.04999999999"/>
        <n v="2392.63"/>
        <n v="2104746.29"/>
        <n v="80016.639999999999"/>
        <n v="521818179.56999999"/>
        <n v="507322579.60000002"/>
        <n v="286213610.08999997"/>
        <n v="561678345.07000005"/>
        <n v="1362950203.1900001"/>
        <n v="302875255.36000001"/>
        <n v="323253169.81"/>
        <n v="848657152.69000006"/>
        <n v="1574313.9"/>
        <n v="2193323.89"/>
        <n v="2132267.84"/>
        <n v="563127.49"/>
        <n v="2080785.14"/>
        <n v="2110797.0099999998"/>
        <n v="2527315.9"/>
        <n v="2705565.68"/>
        <n v="10095051.220000001"/>
        <n v="169033422.16"/>
        <n v="215070945.59"/>
        <n v="143894711.03999999"/>
        <n v="144091370.61000001"/>
        <n v="195900133.52000001"/>
        <n v="145972875.66"/>
        <n v="147696831.68000001"/>
        <n v="7356683.4299999997"/>
        <n v="94780866.549999997"/>
        <n v="69951281.730000004"/>
        <n v="75971924.280000001"/>
        <n v="60356769.600000001"/>
        <n v="64936213.140000001"/>
        <n v="68155638.329999998"/>
        <n v="75286152.890000001"/>
        <n v="79383095.239999995"/>
        <n v="75473787.870000005"/>
        <n v="80947851.189999998"/>
        <n v="110107028.81"/>
        <n v="76158681.379999995"/>
        <n v="83376790.790000007"/>
        <n v="9993586.75"/>
        <n v="70389157.329999998"/>
        <n v="22837397.620000001"/>
        <n v="32342591.670000002"/>
        <n v="20873137.75"/>
        <n v="1944989.57"/>
        <n v="25680377.170000002"/>
        <n v="22175182.02"/>
        <n v="20960564.079999998"/>
        <n v="25780027.23"/>
        <n v="19732832.579999998"/>
        <n v="13806283.26"/>
        <n v="15500547.949999999"/>
        <n v="13415990.470000001"/>
        <n v="16010303.67"/>
        <n v="14220378.390000001"/>
        <n v="950876.26"/>
        <n v="12734446.449999999"/>
        <n v="74415964.700000003"/>
        <n v="94163400.670000002"/>
        <n v="65990527.32"/>
        <n v="67507760.060000002"/>
        <n v="67400785.510000005"/>
        <n v="72486294.140000001"/>
        <n v="66926560.619999997"/>
        <n v="6976151.0199999996"/>
        <n v="33805522.780000001"/>
        <n v="23008918.050000001"/>
        <n v="21686885.579999998"/>
        <n v="22810733.82"/>
        <n v="26297778.809999999"/>
        <n v="21834485.670000002"/>
        <n v="25652661.539999999"/>
        <n v="1507898.89"/>
        <n v="72807419.400000006"/>
        <n v="62326905.780000001"/>
        <n v="75375890.579999998"/>
        <n v="64759161.280000001"/>
        <n v="93147704.900000006"/>
        <n v="69697407.25"/>
        <n v="9255142.9800000004"/>
        <n v="66708460.810000002"/>
        <n v="60456811.640000001"/>
        <n v="51256875.170000002"/>
        <n v="2689213.26"/>
        <n v="58867412.240000002"/>
        <n v="52955703.950000003"/>
        <n v="75706166.159999996"/>
        <n v="56485455.469999999"/>
        <n v="60818903.75"/>
        <n v="25449150.739999998"/>
        <n v="28890543.82"/>
        <n v="29126284.780000001"/>
        <n v="32935747.399999999"/>
        <n v="4024541.11"/>
        <n v="26589263.75"/>
        <n v="32447328.84"/>
        <n v="41289847.789999999"/>
        <n v="171560041.15000001"/>
        <n v="15894062.99"/>
        <n v="132691974.06"/>
        <n v="116470435.86"/>
        <n v="129705906.83"/>
        <n v="127212453.77"/>
        <n v="111650192.98"/>
        <n v="124858113.81"/>
        <n v="29150135.32"/>
        <n v="4841965.63"/>
        <n v="22763156.780000001"/>
        <n v="22285218.940000001"/>
        <n v="27314162.449999999"/>
        <n v="28886695.43"/>
        <n v="23566993.91"/>
        <n v="35726146.439999998"/>
        <n v="29966046.289999999"/>
        <n v="27202993.52"/>
        <n v="8965806.9299999997"/>
        <n v="28751289.100000001"/>
        <n v="30336891.43"/>
        <n v="31684149.969999999"/>
        <n v="35328374.479999997"/>
        <n v="40362148.149999999"/>
        <n v="15139499.08"/>
        <n v="2487329.06"/>
        <n v="15888647.26"/>
        <n v="17594278.710000001"/>
        <n v="23505969.829999998"/>
        <n v="18806076.800000001"/>
        <n v="18307134.829999998"/>
        <n v="18411318.199999999"/>
        <n v="65073815.130000003"/>
        <n v="70415205.879999995"/>
        <n v="97802233.180000007"/>
        <n v="70648273.840000004"/>
        <n v="69412670.739999995"/>
        <n v="75460432.459999993"/>
        <n v="7034869.0199999996"/>
        <n v="80406841.879999995"/>
        <n v="105465003.01000001"/>
        <n v="83405831.189999998"/>
        <n v="77590446.049999997"/>
        <n v="19633358.699999999"/>
        <n v="74503556.349999994"/>
        <n v="82695188.810000002"/>
        <n v="67165857.700000003"/>
        <n v="72957918.870000005"/>
        <n v="29723597.289999999"/>
        <n v="27815416.34"/>
        <n v="39607105.899999999"/>
        <n v="31239674.030000001"/>
        <n v="1366576.89"/>
        <n v="27111392.73"/>
        <n v="32314890.77"/>
        <n v="28904216"/>
        <n v="88114353.760000005"/>
        <n v="62409956.590000004"/>
        <n v="7961739.4000000004"/>
        <n v="56290105.68"/>
        <n v="71108606.840000004"/>
        <n v="69340688.689999998"/>
        <n v="63287905.109999999"/>
        <n v="62772437.130000003"/>
        <n v="43618973.270000003"/>
        <n v="33501053.079999998"/>
        <n v="30670066.960000001"/>
        <n v="28805701.760000002"/>
        <n v="27161717.77"/>
        <n v="27939486.25"/>
        <n v="2290170.61"/>
        <n v="34283205.380000003"/>
        <n v="15106755.43"/>
        <n v="17047702.219999999"/>
        <n v="22009082.960000001"/>
        <n v="21486319.780000001"/>
        <n v="23721117.050000001"/>
        <n v="25932350.41"/>
        <n v="21352044.399999999"/>
        <n v="7248076.5999999996"/>
        <n v="231859665.65000001"/>
        <n v="288671258.91000003"/>
        <n v="387261385.55000001"/>
        <n v="396273591.25"/>
        <n v="337929909.55000001"/>
        <n v="414630079.50999999"/>
        <n v="568916368.25"/>
        <n v="2362838145.6799998"/>
        <n v="866013776.53999996"/>
        <n v="695578997.62"/>
        <n v="1161784156.54"/>
        <n v="529161229.26999998"/>
        <n v="257805764.52000001"/>
        <n v="401853191.01999998"/>
        <n v="1078003322.46"/>
        <n v="2379958976.1100001"/>
        <n v="1704922316.1700001"/>
        <n v="1406929184.8399999"/>
        <n v="2329637640.0900002"/>
        <n v="1487589995.73"/>
        <n v="1885558508.77"/>
        <n v="1698625978.3499999"/>
        <n v="50714.76"/>
        <n v="106424187.79000001"/>
        <n v="78867937.879999995"/>
        <n v="13477.66"/>
        <n v="27967666.239999998"/>
        <n v="66271290.25"/>
        <n v="5716510.54"/>
        <n v="29485544.309999999"/>
        <n v="9922481572.6800003"/>
        <n v="9586522949.7800007"/>
        <n v="9402009643.8299999"/>
        <n v="10476596030.969999"/>
        <n v="10471770817.42"/>
        <n v="4141794090.0500002"/>
        <n v="10369014823.26"/>
        <n v="2688546582.04"/>
        <n v="47775592.850000001"/>
        <n v="17637997.57"/>
        <n v="30594643.25"/>
        <n v="18595572.66"/>
        <n v="73248205.549999997"/>
        <n v="33655.06"/>
        <n v="33969.870000000003"/>
        <n v="35919.339999999997"/>
        <n v="34305.35"/>
        <n v="35163.69"/>
        <n v="2445901427.1599998"/>
        <n v="34415.39"/>
        <n v="430914.84"/>
        <n v="430904.47"/>
        <n v="430911.5"/>
        <n v="19000000"/>
        <n v="430921.81"/>
        <n v="468257.89"/>
        <n v="430918.44"/>
        <n v="349745570.98000002"/>
        <n v="10859768.66"/>
        <n v="11748893.460000001"/>
        <n v="44211350.659999996"/>
        <n v="32617429.960000001"/>
        <n v="42971311.539999999"/>
        <n v="7711510.8799999999"/>
        <n v="3369474.56"/>
        <n v="3333150.75"/>
        <n v="5207345.82"/>
        <n v="4203366.12"/>
        <n v="1143077.6000000001"/>
        <n v="4264423.09"/>
        <n v="1845190.38"/>
        <n v="5389850.0199999996"/>
        <n v="126410742.20999999"/>
        <n v="24938759.390000001"/>
        <n v="151779090.31"/>
        <n v="122392969.14"/>
        <n v="201281436.18000001"/>
        <n v="224828712.52000001"/>
        <n v="41151577.619999997"/>
        <n v="202504253.47999999"/>
        <n v="183875233.15000001"/>
        <n v="210080887.41999999"/>
        <n v="65296452701.93"/>
        <n v="96286394090.660004"/>
        <n v="3924735698.1599998"/>
        <n v="63567262803.449997"/>
        <n v="64195924508.150002"/>
        <n v="64848066188.449997"/>
        <n v="64346268021.209999"/>
        <n v="95524638573.339996"/>
        <n v="23650000"/>
        <n v="1193908.42"/>
        <n v="220517218.81999999"/>
        <n v="1431.45"/>
        <n v="65131.97"/>
        <n v="56108.97"/>
        <n v="39733.07"/>
        <n v="59732.9"/>
        <n v="573876.18000000005"/>
        <n v="9464.02"/>
        <n v="573792179.23000002"/>
        <n v="365353011.69"/>
        <n v="403809504.47000003"/>
        <n v="275143075.20999998"/>
        <n v="170038815.09"/>
        <n v="246081387.08000001"/>
        <n v="206996928.16"/>
        <n v="738945.04"/>
        <n v="4706336.78"/>
        <n v="352016.67"/>
        <n v="5295973"/>
        <n v="757552.09"/>
        <n v="48457552.689999998"/>
        <n v="84960642.689999998"/>
        <n v="215275842.28"/>
        <n v="415953594.22000003"/>
        <n v="186108124.28999999"/>
        <n v="150956166.88"/>
        <n v="133534934.26000001"/>
        <n v="121610939.02"/>
        <n v="4715225690.2600002"/>
        <n v="2263745239.8800001"/>
        <n v="5417478908.1599998"/>
        <n v="5657983147.5200005"/>
        <n v="2448934216.1999998"/>
        <n v="5593218388.6599998"/>
        <n v="4553927078.6300001"/>
        <n v="5788437464.8999996"/>
        <n v="13333.34"/>
        <n v="36308435.719999999"/>
        <n v="547853606.75"/>
        <n v="37414077.75"/>
        <n v="35223677.340000004"/>
        <n v="21246911.649999999"/>
        <n v="32567353.539999999"/>
        <n v="48255935.270000003"/>
        <n v="24400403.870000001"/>
        <n v="5429.25"/>
        <n v="6446.78"/>
        <n v="3023622.58"/>
        <n v="3531343.15"/>
        <n v="146889953.30000001"/>
        <n v="13315751.82"/>
        <n v="8368148.54"/>
        <n v="7124446.8300000001"/>
        <n v="2056506.16"/>
        <n v="9769676.8300000001"/>
        <n v="5660125.8700000001"/>
        <n v="8033622.9100000001"/>
        <n v="7342180.2999999998"/>
        <n v="990249.01"/>
        <n v="613873.89"/>
        <n v="587785.93999999994"/>
        <n v="631889.52"/>
        <n v="252892.6"/>
        <n v="683430.61"/>
        <n v="841083.33"/>
        <n v="746019.35"/>
        <n v="130229611.90000001"/>
        <n v="14661774.27"/>
        <n v="148899496.30000001"/>
        <n v="123931341.42"/>
        <n v="144815932.69999999"/>
        <n v="164910007.61000001"/>
        <n v="145490034.74000001"/>
        <n v="146298684.03999999"/>
        <n v="137472754.58000001"/>
        <n v="150484666.88"/>
        <n v="126806860.48999999"/>
        <n v="142721164.18000001"/>
        <n v="25776776.510000002"/>
        <n v="151777237.02000001"/>
        <n v="124375877.75"/>
        <n v="151434877.52000001"/>
        <n v="19486361.050000001"/>
        <n v="11320858.289999999"/>
        <n v="14328250.939999999"/>
        <n v="25362178.079999998"/>
        <n v="10169691.789999999"/>
        <n v="23296166.039999999"/>
        <n v="14388077.800000001"/>
        <n v="17589580.440000001"/>
        <n v="6223275.4000000004"/>
        <n v="12504759.83"/>
        <n v="8330284.5300000003"/>
        <n v="12466921.609999999"/>
        <n v="4135889.95"/>
        <n v="14694504.49"/>
        <n v="15132496.27"/>
        <n v="11725284.890000001"/>
        <n v="162610185.18000001"/>
        <n v="126462116.76000001"/>
        <n v="121868390.29000001"/>
        <n v="119380155.89"/>
        <n v="33455065.399999999"/>
        <n v="92309642.150000006"/>
        <n v="103858302.92"/>
        <n v="111249752.66"/>
        <n v="81883656.269999996"/>
        <n v="17034346.289999999"/>
        <n v="47108923.619999997"/>
        <n v="55950928.670000002"/>
        <n v="68454650.700000003"/>
        <n v="57622153.530000001"/>
        <n v="60480218.859999999"/>
        <n v="41023409.759999998"/>
        <n v="29163531.960000001"/>
        <n v="30805070.32"/>
        <n v="5826636.5499999998"/>
        <n v="27153822.890000001"/>
        <n v="41805189.439999998"/>
        <n v="26241858.32"/>
        <n v="34219062.75"/>
        <n v="31008208.5"/>
        <n v="6407311.9900000002"/>
        <n v="7007810.5899999999"/>
        <n v="6929760.2199999997"/>
        <n v="7414706"/>
        <n v="3209437.86"/>
        <n v="7673459.6100000003"/>
        <n v="6540461.0499999998"/>
        <n v="4617778.12"/>
        <n v="20350039.050000001"/>
        <n v="16612815.57"/>
        <n v="14064927.76"/>
        <n v="27743627.379999999"/>
        <n v="21431928.170000002"/>
        <n v="29641904.43"/>
        <n v="24262775.02"/>
        <n v="19108069.670000002"/>
        <n v="24980859.52"/>
        <n v="27334757.309999999"/>
        <n v="37095704.82"/>
        <n v="31069966.539999999"/>
        <n v="32011974.27"/>
        <n v="5776005.6399999997"/>
        <n v="26710810.079999998"/>
        <n v="26359058.09"/>
        <n v="27695913.719999999"/>
        <n v="35990733.109999999"/>
        <n v="3006210.79"/>
        <n v="30087322.629999999"/>
        <n v="35282464.990000002"/>
        <n v="30451976.719999999"/>
        <n v="30021749.329999998"/>
        <n v="44048798.799999997"/>
        <n v="45289997.579999998"/>
        <n v="50783862.789999999"/>
        <n v="57824226.43"/>
        <n v="5829102.5499999998"/>
        <n v="50385290.07"/>
        <n v="57632463.25"/>
        <n v="51156661.68"/>
        <n v="66122436.359999999"/>
        <n v="52744913.109999999"/>
        <n v="62759386.420000002"/>
        <n v="46816881.369999997"/>
        <n v="44734061.740000002"/>
        <n v="45905334.460000001"/>
        <n v="43056203.909999996"/>
        <n v="52921963.090000004"/>
        <n v="5250356.67"/>
        <n v="30092386.23"/>
        <n v="29456835.079999998"/>
        <n v="5804710.3499999996"/>
        <n v="37232863.100000001"/>
        <n v="32995558.82"/>
        <n v="29508295.440000001"/>
        <n v="33883871.5"/>
        <n v="27360352.609999999"/>
        <n v="22734228.25"/>
        <n v="23212191.739999998"/>
        <n v="21763274.25"/>
        <n v="20665842.129999999"/>
        <n v="19390378.989999998"/>
        <n v="20082312.25"/>
        <n v="3448502.76"/>
        <n v="28979044.170000002"/>
        <n v="39149915.359999999"/>
        <n v="35989808.079999998"/>
        <n v="38767960.060000002"/>
        <n v="43410298.140000001"/>
        <n v="42590688.82"/>
        <n v="6922669.6600000001"/>
        <n v="39081292.859999999"/>
        <n v="51066403.049999997"/>
        <n v="34211159.969999999"/>
        <n v="5638913.7599999998"/>
        <n v="39709557.850000001"/>
        <n v="34619691.270000003"/>
        <n v="39437935.710000001"/>
        <n v="34656572.850000001"/>
        <n v="48114522.840000004"/>
        <n v="33316662.460000001"/>
        <n v="43170337.049999997"/>
        <n v="52044006.469999999"/>
        <n v="51427188.920000002"/>
        <n v="62535813.850000001"/>
        <n v="46713236.68"/>
        <n v="46258000.979999997"/>
        <n v="4879546.47"/>
        <n v="46315601.969999999"/>
        <n v="4078205.03"/>
        <n v="19745592.48"/>
        <n v="17494492.530000001"/>
        <n v="22483617.75"/>
        <n v="18309432.43"/>
        <n v="15878334.189999999"/>
        <n v="23606816.940000001"/>
        <n v="26767598.559999999"/>
        <n v="11008802.15"/>
        <n v="10107979.68"/>
        <n v="10889931.800000001"/>
        <n v="13236131.529999999"/>
        <n v="12951204.050000001"/>
        <n v="16096733.550000001"/>
        <n v="11000855.640000001"/>
        <n v="1672905.07"/>
        <n v="4594827.03"/>
        <n v="45720208.630000003"/>
        <n v="49095716.770000003"/>
        <n v="44747120.079999998"/>
        <n v="66453820.200000003"/>
        <n v="47877247.049999997"/>
        <n v="53671490.549999997"/>
        <n v="56065400.740000002"/>
        <n v="23440074.390000001"/>
        <n v="22583786.800000001"/>
        <n v="30518008.559999999"/>
        <n v="22659562.859999999"/>
        <n v="21242832.600000001"/>
        <n v="25772741.109999999"/>
        <n v="2308895.83"/>
        <n v="25474913.02"/>
        <n v="89325970.480000004"/>
        <n v="78168295.599999994"/>
        <n v="72581829.659999996"/>
        <n v="79794963.180000007"/>
        <n v="115160369.22"/>
        <n v="8271097.1399999997"/>
        <n v="75324345.019999996"/>
        <n v="87910670.560000002"/>
        <n v="11495171.880000001"/>
        <n v="1142067.67"/>
        <n v="15056480.82"/>
        <n v="9862020.2400000002"/>
        <n v="10517592.98"/>
        <n v="9207623.4000000004"/>
        <n v="11739413.98"/>
        <n v="10503787.1"/>
        <n v="9254975.7799999993"/>
        <n v="11922757.779999999"/>
        <n v="7633520.0899999999"/>
        <n v="9157251.7200000007"/>
        <n v="1635983.9"/>
        <n v="7951181.4199999999"/>
        <n v="9386317.3399999999"/>
        <n v="7346193.1399999997"/>
        <n v="28416569.739999998"/>
        <n v="27592783.649999999"/>
        <n v="31011981.09"/>
        <n v="37229936.399999999"/>
        <n v="3451822.43"/>
        <n v="34220399.310000002"/>
        <n v="32602509.18"/>
        <n v="43454827.549999997"/>
        <n v="73691134.159999996"/>
        <n v="65194712.32"/>
        <n v="64814041.119999997"/>
        <n v="71174797.049999997"/>
        <n v="57653123.43"/>
        <n v="91817256.209999993"/>
        <n v="6901495.5199999996"/>
        <n v="64342839.420000002"/>
        <n v="67944891.829999998"/>
        <n v="53059204.469999999"/>
        <n v="80763039.260000005"/>
        <n v="63030508.759999998"/>
        <n v="57084555.159999996"/>
        <n v="59146736"/>
        <n v="66465016.969999999"/>
        <n v="13301875.710000001"/>
        <n v="52011767.549999997"/>
        <n v="62337333.640000001"/>
        <n v="36844978.289999999"/>
        <n v="47970053.810000002"/>
        <n v="75900969.010000005"/>
        <n v="53898871.619999997"/>
        <n v="60254499.539999999"/>
        <n v="58159666.93"/>
        <n v="38150303.539999999"/>
        <n v="33991881.75"/>
        <n v="57530417.219999999"/>
        <n v="39343092.270000003"/>
        <n v="43994578.409999996"/>
        <n v="45832595.189999998"/>
        <n v="8942737.6400000006"/>
        <n v="37481946.649999999"/>
        <n v="19991044.809999999"/>
        <n v="20552725.789999999"/>
        <n v="16123731.68"/>
        <n v="3331131.53"/>
        <n v="15327284.83"/>
        <n v="17835384.690000001"/>
        <n v="17838847.829999998"/>
        <n v="27678288.260000002"/>
        <n v="20486500.420000002"/>
        <n v="22625849.68"/>
        <n v="30965511.609999999"/>
        <n v="4159847.27"/>
        <n v="24593426"/>
        <n v="22157460.699999999"/>
        <n v="22482168.989999998"/>
        <n v="28097415.27"/>
        <n v="37003193.25"/>
        <n v="56702120.439999998"/>
        <n v="41744141.630000003"/>
        <n v="37537810.07"/>
        <n v="42617443.210000001"/>
        <n v="33757492.689999998"/>
        <n v="3722741.41"/>
        <n v="37694909.859999999"/>
        <n v="4504742.5"/>
        <n v="41483063.979999997"/>
        <n v="62020398.609999999"/>
        <n v="37777020.710000001"/>
        <n v="47022912.439999998"/>
        <n v="42899888.43"/>
        <n v="44468295.829999998"/>
        <n v="48119382.32"/>
        <n v="55426721.950000003"/>
        <n v="45812479.460000001"/>
        <n v="41102342.960000001"/>
        <n v="40772399.259999998"/>
        <n v="39736449.350000001"/>
        <n v="45274317.719999999"/>
        <n v="4937030.5599999996"/>
        <n v="35683268.630000003"/>
        <n v="50746719.82"/>
        <n v="34981200.450000003"/>
        <n v="3387414.84"/>
        <n v="41470868.670000002"/>
        <n v="33158183.010000002"/>
        <n v="32807601.52"/>
        <n v="36266648.189999998"/>
        <n v="39414062.539999999"/>
        <n v="51045249.799999997"/>
        <n v="58284741.759999998"/>
        <n v="51191561.100000001"/>
        <n v="6194343.4900000002"/>
        <n v="58570708"/>
        <n v="48288964.539999999"/>
        <n v="48434340.75"/>
        <n v="68195536.219999999"/>
        <n v="37887016.240000002"/>
        <n v="53951696.390000001"/>
        <n v="36925072.75"/>
        <n v="43554037.880000003"/>
        <n v="37250844.189999998"/>
        <n v="39058499.560000002"/>
        <n v="4237110.2300000004"/>
        <n v="43307466.450000003"/>
        <n v="14745032.02"/>
        <n v="15035856.01"/>
        <n v="15809399.5"/>
        <n v="18210118.300000001"/>
        <n v="16249564.27"/>
        <n v="21855112.370000001"/>
        <n v="18025917.100000001"/>
        <n v="2249269.67"/>
        <n v="23570483.57"/>
        <n v="35235487.780000001"/>
        <n v="23943565.690000001"/>
        <n v="2418689.14"/>
        <n v="23196313.18"/>
        <n v="26787753.350000001"/>
        <n v="24292995.789999999"/>
        <n v="27913237.34"/>
        <n v="22555773.84"/>
        <n v="4193905.58"/>
        <n v="26654912.43"/>
        <n v="31209670.280000001"/>
        <n v="19985800.579999998"/>
        <n v="22593080.280000001"/>
        <n v="25894920.300000001"/>
        <n v="23686228.800000001"/>
        <n v="15640182.859999999"/>
        <n v="21647671.899999999"/>
        <n v="23570380.190000001"/>
        <n v="28052443.460000001"/>
        <n v="20516946.530000001"/>
        <n v="19885608.23"/>
        <n v="3585911.5"/>
        <n v="23656445.879999999"/>
        <n v="18795841.309999999"/>
        <n v="19435451.27"/>
        <n v="27851937.760000002"/>
        <n v="20010305.030000001"/>
        <n v="2078586"/>
        <n v="22671722.629999999"/>
        <n v="23437106.440000001"/>
        <n v="20184124"/>
        <n v="4336527.93"/>
        <n v="23945591.170000002"/>
        <n v="34647181.719999999"/>
        <n v="26150245.079999998"/>
        <n v="30120963.780000001"/>
        <n v="29372414.469999999"/>
        <n v="24536905.66"/>
        <n v="23274431.370000001"/>
        <n v="33892533.920000002"/>
        <n v="3686883.44"/>
        <n v="32835294.199999999"/>
        <n v="31459044.27"/>
        <n v="38707482.189999998"/>
        <n v="35684435.909999996"/>
        <n v="39629020.039999999"/>
        <n v="46377066"/>
        <n v="31051995.190000001"/>
        <n v="28136332.370000001"/>
        <n v="4898510.71"/>
        <n v="25241274.399999999"/>
        <n v="27755053.469999999"/>
        <n v="35880055.810000002"/>
        <n v="24436951.370000001"/>
        <n v="31726308.73"/>
        <n v="38404636.159999996"/>
        <n v="43624526.359999999"/>
        <n v="36866506.200000003"/>
        <n v="50813340.030000001"/>
        <n v="38353707.119999997"/>
        <n v="3444728.17"/>
        <n v="42441282.380000003"/>
        <n v="36047448.07"/>
        <n v="2908286.4"/>
        <n v="26145193.350000001"/>
        <n v="25677649.670000002"/>
        <n v="28889393.879999999"/>
        <n v="37739210"/>
        <n v="31198076.530000001"/>
        <n v="27901053.710000001"/>
        <n v="30770856.300000001"/>
        <n v="96108907.129999995"/>
        <n v="91950929.5"/>
        <n v="113675940.45999999"/>
        <n v="14997286.98"/>
        <n v="135174155"/>
        <n v="107002834.02"/>
        <n v="150313636.94999999"/>
        <n v="105137553.54000001"/>
        <n v="7435659.6299999999"/>
        <n v="13188628.029999999"/>
        <n v="18560268"/>
        <n v="23254563.539999999"/>
        <n v="9862628.3900000006"/>
        <n v="23871145.09"/>
        <n v="30826998.870000001"/>
        <n v="27470409.09"/>
        <n v="58593748.539999999"/>
        <n v="63624904.740000002"/>
        <n v="22858819.329999998"/>
        <n v="74814926.859999999"/>
        <n v="74852582.549999997"/>
        <n v="63993510.420000002"/>
        <n v="66804262.469999999"/>
        <n v="50928266.340000004"/>
        <n v="290614.31"/>
        <n v="1479398.62"/>
        <n v="1109987.22"/>
        <n v="1647177.7"/>
        <n v="2251464.36"/>
        <n v="2296537.84"/>
        <n v="3009292.48"/>
        <n v="2517331.7799999998"/>
        <n v="8540041085.8199997"/>
        <n v="1058407484.09"/>
        <n v="8074488684.8900003"/>
        <n v="7873205879.5799999"/>
        <n v="8106586030.1899996"/>
        <n v="8682393239.2299995"/>
        <n v="7927961639.1300001"/>
        <n v="8387215863.5"/>
        <n v="485660059.93000001"/>
        <n v="181673409.63"/>
        <n v="280801956.63999999"/>
        <n v="736090624.61000001"/>
        <n v="298730917.88999999"/>
        <n v="303675163.27999997"/>
        <n v="478433735.32999998"/>
        <n v="288113870.19"/>
        <n v="57478154.990000002"/>
        <n v="170235868.44999999"/>
        <n v="330124429.89999998"/>
        <n v="153597574.31999999"/>
        <n v="186483917.28"/>
        <n v="175510666.74000001"/>
        <n v="487922269.81999999"/>
        <n v="166538612.94999999"/>
        <n v="107690.56"/>
        <n v="5539457.8399999999"/>
        <n v="16756649.1"/>
        <n v="9848278.8100000005"/>
        <n v="15238661.060000001"/>
        <n v="13492028.01"/>
        <n v="15854219.07"/>
        <n v="35463526.109999999"/>
        <n v="33819233.719999999"/>
        <n v="22937109.07"/>
        <n v="54632817.229999997"/>
        <n v="72918272.760000005"/>
        <n v="33645582.619999997"/>
        <n v="61882136.119999997"/>
        <n v="24534452.370000001"/>
        <n v="82843886.219999999"/>
        <n v="21917983.460000001"/>
        <n v="72512054.390000001"/>
        <n v="66513540.57"/>
        <n v="45898352.810000002"/>
        <n v="82055365.200000003"/>
        <n v="50338052.759999998"/>
        <n v="96875466.019999996"/>
        <n v="82309396199.5"/>
        <n v="84210857852.710007"/>
        <n v="70328305701.169998"/>
        <n v="457589582165.66998"/>
        <n v="343152867529.67999"/>
        <n v="40022902317.830002"/>
        <n v="313489690837.65997"/>
        <n v="249636233859.53"/>
        <n v="2727689889.6500001"/>
        <n v="2468508915.0500002"/>
        <n v="2504786391.6700001"/>
        <n v="80744133.439999998"/>
        <n v="2709736109.98"/>
        <n v="2523152258.04"/>
        <n v="3703802139.7800002"/>
        <n v="2533885057.9200001"/>
        <n v="8157.38"/>
        <n v="124612.53"/>
        <n v="233595.72"/>
        <n v="124593.98"/>
        <n v="75652.479999999996"/>
        <n v="124277.86"/>
        <n v="41834941.270000003"/>
        <n v="47731411.270000003"/>
        <n v="31674184.739999998"/>
        <n v="117919168.27"/>
        <n v="87508881.840000004"/>
        <n v="238084911.31"/>
        <n v="33254095.120000001"/>
        <n v="70140980.099999994"/>
        <n v="44448725.640000001"/>
        <n v="76052157.480000004"/>
        <n v="48054578.869999997"/>
        <n v="59806824.700000003"/>
        <n v="43619546.009999998"/>
        <n v="10986416.449999999"/>
        <n v="56604291.240000002"/>
        <n v="58956201.270000003"/>
        <n v="245807.18"/>
        <n v="99521.19"/>
        <n v="227954.23"/>
        <n v="745922.97"/>
        <n v="393692.89"/>
        <n v="1870849.96"/>
        <n v="2866.69"/>
        <n v="27769.040000000001"/>
        <n v="7412.79"/>
        <n v="271491.93"/>
        <n v="105959.55"/>
        <n v="393769.86"/>
        <n v="904917.87"/>
        <n v="123526.03"/>
        <n v="10776118402.610001"/>
        <n v="14484412130.290001"/>
        <n v="11390055524.67"/>
        <n v="16872435461.52"/>
        <n v="10514957493.35"/>
        <n v="12226017150.49"/>
        <n v="7481396077.3100004"/>
        <n v="8622216352.9500008"/>
        <n v="20111119.710000001"/>
        <n v="219039.37"/>
        <n v="3546658285.02"/>
        <n v="870416755.80999994"/>
        <n v="20370500.539999999"/>
        <n v="9253719.2899999991"/>
        <n v="13676437.470000001"/>
        <n v="7371741.6799999997"/>
        <n v="6242090.6900000004"/>
        <n v="4692575.03"/>
        <n v="7656715.7999999998"/>
        <n v="12913260.539999999"/>
        <n v="14855603.57"/>
        <n v="108944.86"/>
        <n v="107829.59"/>
        <n v="19581.43"/>
        <n v="194988.35"/>
        <n v="125862"/>
        <n v="109347.98"/>
        <n v="373737627.77999997"/>
        <n v="320459260.31"/>
        <n v="318392168.70999998"/>
        <n v="122496636.98999999"/>
        <n v="324120053.14999998"/>
        <n v="455770832.77999997"/>
        <n v="257173228.71000001"/>
        <n v="332579135.37"/>
        <n v="28442324.120000001"/>
        <n v="32109573.949999999"/>
        <n v="22668160.670000002"/>
        <n v="23643440.5"/>
        <n v="4245278.66"/>
        <n v="46112579.259999998"/>
        <n v="12667877.25"/>
        <n v="20606276.550000001"/>
        <n v="1056086.6200000001"/>
        <n v="1838744.08"/>
        <n v="244013.53"/>
        <n v="2390862.4300000002"/>
        <n v="259461509.22"/>
        <n v="157687041.84999999"/>
        <n v="14151536404.42"/>
        <n v="14033390543.299999"/>
        <n v="13655141135.690001"/>
        <n v="13265132593.200001"/>
        <n v="15444920960.42"/>
        <n v="14163998708.530001"/>
        <n v="13716886239.860001"/>
        <n v="14647598633.23"/>
        <n v="56879.21"/>
        <n v="162343.26999999999"/>
        <n v="906898657.71000004"/>
        <n v="140815.04000000001"/>
        <n v="7411677.5199999996"/>
        <n v="15578787.67"/>
        <n v="153533.22"/>
        <n v="430193.93"/>
        <n v="9715815.8800000008"/>
        <n v="16928408.16"/>
        <n v="979468.18"/>
        <n v="1876494.66"/>
        <n v="7155517.54"/>
        <n v="25862618.140000001"/>
        <n v="10413822.199999999"/>
        <n v="14600733.07"/>
        <n v="13994654.060000001"/>
        <n v="21449119.02"/>
        <n v="16006398.07"/>
        <n v="16989133.02"/>
        <n v="10093227.060000001"/>
        <n v="4859574.24"/>
        <n v="6060097.21"/>
        <n v="156699320.12"/>
        <n v="78443472.780000001"/>
        <n v="5574140.6500000004"/>
        <n v="26204920.41"/>
        <n v="1546682.69"/>
        <n v="254277082.72"/>
        <n v="244811380.36000001"/>
        <n v="290388299.60000002"/>
        <n v="293084933.36000001"/>
        <n v="344370374.91000003"/>
        <n v="305378816.47000003"/>
        <n v="262669973.28999999"/>
        <n v="85649843.109999999"/>
        <n v="14792275.92"/>
        <n v="12946246.23"/>
        <n v="13570066.390000001"/>
        <n v="13536172.59"/>
        <n v="5658665.1500000004"/>
        <n v="541706.59"/>
        <n v="17656872.190000001"/>
        <n v="20588613.920000002"/>
        <n v="4223754.1399999997"/>
        <n v="6360578.3499999996"/>
        <n v="13435366.949999999"/>
        <n v="15402246.949999999"/>
        <n v="21385090.5"/>
        <n v="12442436.279999999"/>
        <n v="18992441.329999998"/>
        <n v="11191356.18"/>
        <n v="14081622.109999999"/>
        <n v="12677654.949999999"/>
        <n v="16305244.4"/>
        <n v="31072354.780000001"/>
        <n v="30346319.719999999"/>
        <n v="27238348.07"/>
        <n v="30026018.059999999"/>
        <n v="22313165.350000001"/>
        <n v="40854199.969999999"/>
        <n v="24115739.449999999"/>
        <n v="31628918.27"/>
        <n v="29963644.52"/>
        <n v="36479456.850000001"/>
        <n v="28533279.460000001"/>
        <n v="32845650.550000001"/>
        <n v="30969438.079999998"/>
        <n v="650596673.57000005"/>
        <n v="719294749.13"/>
        <n v="574040071.50999999"/>
        <n v="677484543.82000005"/>
        <n v="630850598.02999997"/>
        <n v="851730426.78999996"/>
        <n v="88722216.180000007"/>
        <n v="717708689.64999998"/>
        <n v="472422212.19"/>
        <n v="416523186.08999997"/>
        <n v="424126942.45999998"/>
        <n v="467384597.33999997"/>
        <n v="59434200.759999998"/>
        <n v="590529171.52999997"/>
        <n v="407184839.37"/>
        <n v="433215934.92000002"/>
        <n v="87332024.640000001"/>
        <n v="97531593.840000004"/>
        <n v="74688784.069999993"/>
        <n v="89253848.510000005"/>
        <n v="68539277.489999995"/>
        <n v="65274347.700000003"/>
        <n v="99095905.239999995"/>
        <n v="116399992.20999999"/>
        <n v="361490.19"/>
        <n v="333674.18"/>
        <n v="255146.21"/>
        <n v="302717.88"/>
        <n v="22692.68"/>
        <n v="461033.43"/>
        <n v="1266.28"/>
        <n v="356207.95"/>
        <n v="13324692.699999999"/>
        <n v="6670441.9199999999"/>
        <n v="6722929.8200000003"/>
        <n v="11297899.99"/>
        <n v="12590516.609999999"/>
        <n v="8998830.9299999997"/>
        <n v="3383590.18"/>
        <n v="11859426.800000001"/>
        <n v="1102197.92"/>
        <n v="1310041.52"/>
        <n v="2364282.71"/>
        <n v="2443678.6800000002"/>
        <n v="1892428.09"/>
        <n v="766467.72"/>
        <n v="984512.53"/>
        <n v="2410568.65"/>
        <n v="17985033.98"/>
        <n v="1265990.49"/>
        <n v="17221396.370000001"/>
        <n v="19302000.859999999"/>
        <n v="17933872.629999999"/>
        <n v="19376239.620000001"/>
        <n v="24819477.530000001"/>
        <n v="19631062.789999999"/>
        <n v="2544056.29"/>
        <n v="2713561.1"/>
        <n v="2619097.0699999998"/>
        <n v="2520591.7599999998"/>
        <n v="3228724.85"/>
        <n v="2781560.41"/>
        <n v="665884.71"/>
        <n v="3397664.97"/>
        <n v="3430536.55"/>
        <n v="3310139.94"/>
        <n v="603927.37"/>
        <n v="3668809.64"/>
        <n v="3084449.57"/>
        <n v="4353255.7699999996"/>
        <n v="3709466.59"/>
        <n v="3756819.01"/>
        <n v="2329035.5"/>
        <n v="274742.76"/>
        <n v="2991215.86"/>
        <n v="2998641.91"/>
        <n v="2547632.1800000002"/>
        <n v="3590491.88"/>
        <n v="2746383.35"/>
        <n v="2724370.83"/>
        <n v="46821008.079999998"/>
        <n v="13818686.109999999"/>
        <n v="37231879.030000001"/>
        <n v="34508059.57"/>
        <n v="31540100.59"/>
        <n v="33089388.510000002"/>
        <n v="47140999.479999997"/>
        <n v="43606113.170000002"/>
        <n v="12519847.33"/>
        <n v="2003463.79"/>
        <n v="13601702.810000001"/>
        <n v="12804995.85"/>
        <n v="16824690.84"/>
        <n v="14281453.68"/>
        <n v="11578965.49"/>
        <n v="12054286.59"/>
        <n v="164558201.93000001"/>
        <n v="143971394.88"/>
        <n v="165505761.18000001"/>
        <n v="223495981.44999999"/>
        <n v="175209423.27000001"/>
        <n v="24600123.559999999"/>
        <n v="161209112.56999999"/>
        <n v="146634645.25999999"/>
        <n v="22038712.629999999"/>
        <n v="20547320.899999999"/>
        <n v="25050282.98"/>
        <n v="21829771.550000001"/>
        <n v="21457623.129999999"/>
        <n v="32164801.629999999"/>
        <n v="3974560.37"/>
        <n v="26715254.91"/>
        <n v="1066757.97"/>
        <n v="13073597.15"/>
        <n v="13722616.76"/>
        <n v="14358153.279999999"/>
        <n v="17688300.390000001"/>
        <n v="15253369.210000001"/>
        <n v="12421358.66"/>
        <n v="13338785.84"/>
        <n v="200659997.63"/>
        <n v="142234466.84999999"/>
        <n v="141612827.02000001"/>
        <n v="166512789.74000001"/>
        <n v="147206480.06"/>
        <n v="5131327.63"/>
        <n v="164876645.41999999"/>
        <n v="152825429.97"/>
        <n v="87534424.109999999"/>
        <n v="76086674.079999998"/>
        <n v="70127302.609999999"/>
        <n v="76440868.340000004"/>
        <n v="84601594.329999998"/>
        <n v="77080558.780000001"/>
        <n v="8034484.0199999996"/>
        <n v="107690284.58"/>
        <n v="19738559.23"/>
        <n v="2421636.4"/>
        <n v="18022490.800000001"/>
        <n v="20451321.489999998"/>
        <n v="24113802.75"/>
        <n v="18894290.57"/>
        <n v="27869446.719999999"/>
        <n v="23057338.100000001"/>
        <n v="67616221.5"/>
        <n v="65682282.450000003"/>
        <n v="90856225.989999995"/>
        <n v="58891665.210000001"/>
        <n v="69729516.230000004"/>
        <n v="11044928.68"/>
        <n v="61291144.799999997"/>
        <n v="60418215.030000001"/>
        <n v="8781135.8000000007"/>
        <n v="929349.29"/>
        <n v="9582733.0899999999"/>
        <n v="9793312.3800000008"/>
        <n v="7259446.0899999999"/>
        <n v="11454839.6"/>
        <n v="8213111.7400000002"/>
        <n v="9071109.25"/>
        <n v="103059114.56999999"/>
        <n v="105751739.03"/>
        <n v="109634225.38"/>
        <n v="149778022.96000001"/>
        <n v="121187879.76000001"/>
        <n v="13073112.380000001"/>
        <n v="107275775.18000001"/>
        <n v="113917698.45"/>
        <n v="2141250.67"/>
        <n v="26597094.120000001"/>
        <n v="18888067.960000001"/>
        <n v="18218940.010000002"/>
        <n v="17408158.989999998"/>
        <n v="21331264.940000001"/>
        <n v="18010911.34"/>
        <n v="20925696.449999999"/>
        <n v="9850533.6999999993"/>
        <n v="7826604.8399999999"/>
        <n v="9477602.1600000001"/>
        <n v="9615799.6999999993"/>
        <n v="7848840.46"/>
        <n v="2218846.12"/>
        <n v="12610164.16"/>
        <n v="9509310.2400000002"/>
        <n v="27110020.48"/>
        <n v="71702261.879999995"/>
        <n v="92201259.480000004"/>
        <n v="85538266.319999993"/>
        <n v="110588964.93000001"/>
        <n v="84825966.599999994"/>
        <n v="82155417.689999998"/>
        <n v="79631977.140000001"/>
        <n v="35441171.520000003"/>
        <n v="48237587.310000002"/>
        <n v="31131398.77"/>
        <n v="28209665.199999999"/>
        <n v="32845575.25"/>
        <n v="37831777.340000004"/>
        <n v="32612103.539999999"/>
        <n v="4898406.0999999996"/>
        <n v="178862911.84999999"/>
        <n v="279841781.49000001"/>
        <n v="218853445.00999999"/>
        <n v="198242170.87"/>
        <n v="182910472.53"/>
        <n v="197289114.97"/>
        <n v="17139088.190000001"/>
        <n v="210010370.03"/>
        <n v="38694112.100000001"/>
        <n v="37082681.380000003"/>
        <n v="3376537.13"/>
        <n v="29250135.920000002"/>
        <n v="37017578.590000004"/>
        <n v="38434192.460000001"/>
        <n v="42846021.939999998"/>
        <n v="53363431.520000003"/>
        <n v="17367705.899999999"/>
        <n v="203485872.83000001"/>
        <n v="143657493.37"/>
        <n v="156961293.41999999"/>
        <n v="134932275.72"/>
        <n v="163736512.33000001"/>
        <n v="148882035.36000001"/>
        <n v="138570175.12"/>
        <n v="7616278.25"/>
        <n v="7911621.4800000004"/>
        <n v="6044360.6200000001"/>
        <n v="2327450.84"/>
        <n v="10999707.210000001"/>
        <n v="6865376.1399999997"/>
        <n v="8907455.5800000001"/>
        <n v="7270361.5999999996"/>
        <n v="18836748.050000001"/>
        <n v="29007859.82"/>
        <n v="17982754.77"/>
        <n v="22061878.34"/>
        <n v="19061270.760000002"/>
        <n v="1942700.98"/>
        <n v="21808148.949999999"/>
        <n v="18652222.649999999"/>
        <n v="158840132.03999999"/>
        <n v="145835708.31"/>
        <n v="150710075.49000001"/>
        <n v="162996803.88999999"/>
        <n v="218774240.80000001"/>
        <n v="139452454"/>
        <n v="12574363.5"/>
        <n v="152813695.18000001"/>
        <n v="127036922.65000001"/>
        <n v="11875373.9"/>
        <n v="115168004.59999999"/>
        <n v="117480087.48"/>
        <n v="158795779.53"/>
        <n v="116919548.55"/>
        <n v="130091753.66"/>
        <n v="125026107.09999999"/>
        <n v="114621511.43000001"/>
        <n v="112892213.63"/>
        <n v="124913538.73"/>
        <n v="124388289.33"/>
        <n v="166282779.63"/>
        <n v="110645287.70999999"/>
        <n v="112198097.54000001"/>
        <n v="6391280.1900000004"/>
        <n v="82128931.040000007"/>
        <n v="4797976.0999999996"/>
        <n v="70984744.469999999"/>
        <n v="76994443.349999994"/>
        <n v="109528912.25"/>
        <n v="73257488.030000001"/>
        <n v="73278042.129999995"/>
        <n v="83196919.340000004"/>
        <n v="4624950.22"/>
        <n v="4353923.6500000004"/>
        <n v="5733199.2599999998"/>
        <n v="4617022.5599999996"/>
        <n v="4669093.24"/>
        <n v="4745126.05"/>
        <n v="280078.75"/>
        <n v="4538818.1900000004"/>
        <n v="8862457.9299999997"/>
        <n v="10470589"/>
        <n v="15240266.41"/>
        <n v="12121671.85"/>
        <n v="11400685.289999999"/>
        <n v="1670695.51"/>
        <n v="8541127.9499999993"/>
        <n v="8938867.1799999997"/>
        <n v="125836541.2"/>
        <n v="150375442.63"/>
        <n v="193214150.68000001"/>
        <n v="123455816.72"/>
        <n v="8550272.2400000002"/>
        <n v="146389000.47"/>
        <n v="133874639.40000001"/>
        <n v="137725779.31999999"/>
        <n v="5276115.25"/>
        <n v="8252316.8300000001"/>
        <n v="5604034.0099999998"/>
        <n v="6466413.29"/>
        <n v="5672115.46"/>
        <n v="6417775"/>
        <n v="1348182.65"/>
        <n v="6145480.5700000003"/>
        <n v="86536502.430000007"/>
        <n v="7913377.9100000001"/>
        <n v="85733219.75"/>
        <n v="84670419.549999997"/>
        <n v="126491165.09999999"/>
        <n v="84607207.430000007"/>
        <n v="98263835.590000004"/>
        <n v="95123279.200000003"/>
        <n v="3450761.8"/>
        <n v="50229750.880000003"/>
        <n v="65222976.979999997"/>
        <n v="44167483.520000003"/>
        <n v="50571310.119999997"/>
        <n v="46239336.460000001"/>
        <n v="50924894.850000001"/>
        <n v="45960216.899999999"/>
        <n v="176864.33"/>
        <n v="364700"/>
        <n v="161633.24"/>
        <n v="365430"/>
        <n v="483225.63"/>
        <n v="326422.92"/>
        <n v="529717.93999999994"/>
        <n v="10072439.039999999"/>
        <n v="8956342.4499999993"/>
        <n v="10107700.529999999"/>
        <n v="9211914.75"/>
        <n v="13796414.66"/>
        <n v="8259370.75"/>
        <n v="1496495.08"/>
        <n v="8513653.4700000007"/>
        <n v="2047101.95"/>
        <n v="18219401.800000001"/>
        <n v="19246314.890000001"/>
        <n v="23584351.600000001"/>
        <n v="16163824.34"/>
        <n v="15491030.789999999"/>
        <n v="16709633.84"/>
        <n v="14310281.029999999"/>
        <n v="148896121.61000001"/>
        <n v="164387754.28999999"/>
        <n v="17251666.789999999"/>
        <n v="169055921.87"/>
        <n v="148374924.81999999"/>
        <n v="138452349.55000001"/>
        <n v="145202106.80000001"/>
        <n v="220233313.5"/>
        <n v="122594032.90000001"/>
        <n v="127484930.88"/>
        <n v="118316599.37"/>
        <n v="140151535.94999999"/>
        <n v="126113134.79000001"/>
        <n v="-5598631.6299999999"/>
        <n v="143105335.22999999"/>
        <n v="180425927.43000001"/>
        <n v="31115619.84"/>
        <n v="30357215.07"/>
        <n v="26511488.02"/>
        <n v="24317676.920000002"/>
        <n v="34686760.369999997"/>
        <n v="26962700.52"/>
        <n v="23311394.370000001"/>
        <n v="3865027.02"/>
        <n v="318120029.43000001"/>
        <n v="348758275.75"/>
        <n v="446597110.37"/>
        <n v="340921579.31999999"/>
        <n v="303100523.94"/>
        <n v="39672565.380000003"/>
        <n v="313429703.12"/>
        <n v="352853199.63"/>
        <n v="54234307.329999998"/>
        <n v="51215794.240000002"/>
        <n v="55425624.780000001"/>
        <n v="43664334.280000001"/>
        <n v="47737975.18"/>
        <n v="5713678.75"/>
        <n v="66941668.07"/>
        <n v="52460973.25"/>
        <n v="157515331.59999999"/>
        <n v="143047071.84"/>
        <n v="132479448.64"/>
        <n v="24247429.210000001"/>
        <n v="161038086.81"/>
        <n v="147327938.49000001"/>
        <n v="146892591.96000001"/>
        <n v="227151357.63"/>
        <n v="171173877.59999999"/>
        <n v="155459018.25"/>
        <n v="145899166.12"/>
        <n v="171741193.16"/>
        <n v="220100286.44999999"/>
        <n v="161702397.22999999"/>
        <n v="154658258.88"/>
        <n v="16151497.960000001"/>
        <n v="13296771.58"/>
        <n v="8449518.7100000009"/>
        <n v="8690496.9000000004"/>
        <n v="10201261.890000001"/>
        <n v="10982718.310000001"/>
        <n v="10531885.82"/>
        <n v="9949490.2100000009"/>
        <n v="1941644.04"/>
        <n v="11754996.779999999"/>
        <n v="13124199.26"/>
        <n v="13874289.91"/>
        <n v="13005607.470000001"/>
        <n v="11843101.91"/>
        <n v="16247826.949999999"/>
        <n v="10979296.119999999"/>
        <n v="842308.66"/>
        <n v="43337824.140000001"/>
        <n v="41498677.829999998"/>
        <n v="2849055.71"/>
        <n v="44562224.259999998"/>
        <n v="46523953.43"/>
        <n v="45951434.700000003"/>
        <n v="40194821.460000001"/>
        <n v="60633905.100000001"/>
        <n v="26659359.91"/>
        <n v="31957221.780000001"/>
        <n v="1487773.46"/>
        <n v="23476463.43"/>
        <n v="23899305.739999998"/>
        <n v="23635700.129999999"/>
        <n v="27416388.829999998"/>
        <n v="24136330.800000001"/>
        <n v="177818632"/>
        <n v="197901260.16999999"/>
        <n v="175065600.15000001"/>
        <n v="266401679.02000001"/>
        <n v="13021439.92"/>
        <n v="179260778.97"/>
        <n v="203314718.96000001"/>
        <n v="183772276.41"/>
        <n v="18826023.43"/>
        <n v="22940726.690000001"/>
        <n v="20564634.050000001"/>
        <n v="19517563.18"/>
        <n v="30595875.219999999"/>
        <n v="3572703.11"/>
        <n v="23064589.02"/>
        <n v="18563742.710000001"/>
        <n v="69021348.069999993"/>
        <n v="55542362.469999999"/>
        <n v="5582084.2000000002"/>
        <n v="52922958.700000003"/>
        <n v="51558142.5"/>
        <n v="46926047.270000003"/>
        <n v="49072302.469999999"/>
        <n v="57065529.630000003"/>
        <n v="69881655.099999994"/>
        <n v="61278294.990000002"/>
        <n v="46004730.890000001"/>
        <n v="55102167.539999999"/>
        <n v="12096685.51"/>
        <n v="79187845.269999996"/>
        <n v="61010087.490000002"/>
        <n v="55840056.149999999"/>
        <n v="29822353.75"/>
        <n v="29279167.32"/>
        <n v="21618115.280000001"/>
        <n v="25061983.5"/>
        <n v="23482230.350000001"/>
        <n v="35086858.630000003"/>
        <n v="2476509.2200000002"/>
        <n v="25968209.91"/>
        <n v="74129623.269999996"/>
        <n v="77442644.75"/>
        <n v="113305676.70999999"/>
        <n v="87053686.280000001"/>
        <n v="74954119.950000003"/>
        <n v="5281254.6399999997"/>
        <n v="75206175.969999999"/>
        <n v="87106306.109999999"/>
        <n v="15799994.130000001"/>
        <n v="16979653.629999999"/>
        <n v="19012164.760000002"/>
        <n v="8146887.0499999998"/>
        <n v="15693225.77"/>
        <n v="12408359.810000001"/>
        <n v="13379818.560000001"/>
        <n v="9340830.8100000005"/>
      </sharedItems>
    </cacheField>
    <cacheField name="Valor Pago" numFmtId="0">
      <sharedItems containsSemiMixedTypes="0" containsString="0" containsNumber="1" minValue="0" maxValue="457561071916.13" count="1893">
        <n v="408303674.06"/>
        <n v="96008218.599999994"/>
        <n v="323154408.05000001"/>
        <n v="298181469.5"/>
        <n v="369892569.75"/>
        <n v="300251234.44999999"/>
        <n v="431066531.48000002"/>
        <n v="294335303"/>
        <n v="2129466.4300000002"/>
        <n v="3526947.45"/>
        <n v="2662875.7599999998"/>
        <n v="3335821.45"/>
        <n v="1390591.36"/>
        <n v="2710425.69"/>
        <n v="398602.56"/>
        <n v="1612375.92"/>
        <n v="35240546.590000004"/>
        <n v="38595731.409999996"/>
        <n v="48934828.219999999"/>
        <n v="57001818.520000003"/>
        <n v="11105278.890000001"/>
        <n v="36773844.210000001"/>
        <n v="38252961.020000003"/>
        <n v="39690890.670000002"/>
        <n v="303490018.14999998"/>
        <n v="575577982.42999995"/>
        <n v="571252690.61000001"/>
        <n v="651728523.38999999"/>
        <n v="247963161.5"/>
        <n v="368125905.67000002"/>
        <n v="249674783.5"/>
        <n v="55509930.859999999"/>
        <n v="40002807.170000002"/>
        <n v="387004523.76999998"/>
        <n v="641866345.99000001"/>
        <n v="151921777.61000001"/>
        <n v="458736556.56"/>
        <n v="407876777.37"/>
        <n v="180213486.84"/>
        <n v="28930909.829999998"/>
        <n v="5750470.8200000003"/>
        <n v="21560681.43"/>
        <n v="17704015.649999999"/>
        <n v="30186614.059999999"/>
        <n v="27017940.010000002"/>
        <n v="24707872.170000002"/>
        <n v="21683088.539999999"/>
        <n v="21858871.149999999"/>
        <n v="3013484.61"/>
        <n v="10631828.27"/>
        <n v="15262430.550000001"/>
        <n v="11049496.92"/>
        <n v="12363491.210000001"/>
        <n v="15850986.039999999"/>
        <n v="11451863.050000001"/>
        <n v="12139672.23"/>
        <n v="48691736.130000003"/>
        <n v="57676807.399999999"/>
        <n v="44799178.189999998"/>
        <n v="39461783.43"/>
        <n v="7387438.0599999996"/>
        <n v="25659314.66"/>
        <n v="33805620.5"/>
        <n v="38856817.68"/>
        <n v="87584646.040000007"/>
        <n v="69015108.969999999"/>
        <n v="65558210.479999997"/>
        <n v="52950628.950000003"/>
        <n v="55286106.25"/>
        <n v="16304739.52"/>
        <n v="51708463.409999996"/>
        <n v="57310260.149999999"/>
        <n v="10804124.390000001"/>
        <n v="13365876.810000001"/>
        <n v="30501969.370000001"/>
        <n v="52358671"/>
        <n v="15689686.689999999"/>
        <n v="3008137.3"/>
        <n v="43130499.560000002"/>
        <n v="42949540.579999998"/>
        <n v="2788570.39"/>
        <n v="10077316.52"/>
        <n v="8715193.8100000005"/>
        <n v="9609678.6999999993"/>
        <n v="9816807.3900000006"/>
        <n v="400432234.69999999"/>
        <n v="213080819.15000001"/>
        <n v="9486713.9299999997"/>
        <n v="7413628132.8500004"/>
        <n v="760328811.90999997"/>
        <n v="3148132354.5300002"/>
        <n v="5328240296.1400003"/>
        <n v="3018400331.27"/>
        <n v="2896725350.6399999"/>
        <n v="6657642.3499999996"/>
        <n v="6259554583.0299997"/>
        <n v="10877336.85"/>
        <n v="39377420.960000001"/>
        <n v="39758494.630000003"/>
        <n v="39016755.310000002"/>
        <n v="48422108.469999999"/>
        <n v="30191036.559999999"/>
        <n v="52224254.829999998"/>
        <n v="56830522.729999997"/>
        <n v="32465799.109999999"/>
        <n v="48705064.659999996"/>
        <n v="26715853.949999999"/>
        <n v="46324996.810000002"/>
        <n v="27952407.030000001"/>
        <n v="144417.07999999999"/>
        <n v="30601822.800000001"/>
        <n v="36043047.100000001"/>
        <n v="257589.99"/>
        <n v="199858.74"/>
        <n v="261141.39"/>
        <n v="342988.93"/>
        <n v="280570.06"/>
        <n v="15157500.949999999"/>
        <n v="401082336.20999998"/>
        <n v="282958137.13999999"/>
        <n v="291915636.04000002"/>
        <n v="602915116.92999995"/>
        <n v="291956704.81"/>
        <n v="319796833.79000002"/>
        <n v="320806479.5"/>
        <n v="7108940.7400000002"/>
        <n v="10851124.300000001"/>
        <n v="8627740.4000000004"/>
        <n v="8017294.7699999996"/>
        <n v="10713511.939999999"/>
        <n v="9420712.2400000002"/>
        <n v="5872605.1699999999"/>
        <n v="8696277.7799999993"/>
        <n v="411946.99"/>
        <n v="123928.14"/>
        <n v="12526.92"/>
        <n v="329196.61"/>
        <n v="668746.31000000006"/>
        <n v="349925.89"/>
        <n v="514302.01"/>
        <n v="363072.41"/>
        <n v="35346738.909999996"/>
        <n v="29486720.199999999"/>
        <n v="32021704.66"/>
        <n v="5744108.3099999996"/>
        <n v="35039610.560000002"/>
        <n v="34252281.090000004"/>
        <n v="41605552.280000001"/>
        <n v="51849286.880000003"/>
        <n v="37348406.5"/>
        <n v="37137339.609999999"/>
        <n v="54047469.060000002"/>
        <n v="37251746.960000001"/>
        <n v="63688017.539999999"/>
        <n v="13672902.91"/>
        <n v="39276816.359999999"/>
        <n v="45130518.299999997"/>
        <n v="583776.78"/>
        <n v="2301017.2200000002"/>
        <n v="3460793.89"/>
        <n v="2878877.36"/>
        <n v="3465971.03"/>
        <n v="3156875.08"/>
        <n v="3393223.18"/>
        <n v="5472877.3099999996"/>
        <n v="13900327.9"/>
        <n v="52378170.469999999"/>
        <n v="78787775.769999996"/>
        <n v="53368574.369999997"/>
        <n v="58877069.729999997"/>
        <n v="58385409.770000003"/>
        <n v="92605250.900000006"/>
        <n v="49323739.32"/>
        <n v="2502838026.04"/>
        <n v="1782367537.8699999"/>
        <n v="3200427606.2800002"/>
        <n v="1898437411.8900001"/>
        <n v="34313876.170000002"/>
        <n v="2069190910.29"/>
        <n v="2960270070.1999998"/>
        <n v="2076340689.71"/>
        <n v="523048114.79000002"/>
        <n v="3295313595.5799999"/>
        <n v="2646323535.5999999"/>
        <n v="3232938903.1300001"/>
        <n v="2316399741.7600002"/>
        <n v="2062023836.78"/>
        <n v="2121438573.23"/>
        <n v="2211473731.2399998"/>
        <n v="3761080958.9400001"/>
        <n v="5844297060.4700003"/>
        <n v="3837314609.79"/>
        <n v="927960911.42999995"/>
        <n v="5582251670.4700003"/>
        <n v="3742923959.4400001"/>
        <n v="3994897676.4499998"/>
        <n v="3902701206.6700001"/>
        <n v="16681286.390000001"/>
        <n v="22923993.550000001"/>
        <n v="4503115.5599999996"/>
        <n v="13929514.25"/>
        <n v="18132487.010000002"/>
        <n v="15004307.949999999"/>
        <n v="14809124.380000001"/>
        <n v="16807324.02"/>
        <n v="62150734.009999998"/>
        <n v="69167818.329999998"/>
        <n v="66094855.299999997"/>
        <n v="101564565.88"/>
        <n v="69081925.379999995"/>
        <n v="84344178.719999999"/>
        <n v="103998506.61"/>
        <n v="23443900.829999998"/>
        <n v="104159563.31"/>
        <n v="83019007.75"/>
        <n v="36470540.039999999"/>
        <n v="90044924.890000001"/>
        <n v="81039240.510000005"/>
        <n v="84355401.769999996"/>
        <n v="87129316.879999995"/>
        <n v="94477153.329999998"/>
        <n v="73699445.75"/>
        <n v="7841312.5599999996"/>
        <n v="55044926.07"/>
        <n v="86996122.920000002"/>
        <n v="69079107.040000007"/>
        <n v="56836620.659999996"/>
        <n v="95384131.599999994"/>
        <n v="44789785.329999998"/>
        <n v="65724648.640000001"/>
        <n v="4870161.8"/>
        <n v="48031954.640000001"/>
        <n v="43728464.75"/>
        <n v="45944377.039999999"/>
        <n v="43816078.049999997"/>
        <n v="30479138.18"/>
        <n v="54628953.439999998"/>
        <n v="189339253.31"/>
        <n v="113555109.73999999"/>
        <n v="148787434.59999999"/>
        <n v="89072818.469999999"/>
        <n v="91598237.329999998"/>
        <n v="102884350.68000001"/>
        <n v="30907790.550000001"/>
        <n v="206395595.11000001"/>
        <n v="2916115.06"/>
        <n v="5046187.5599999996"/>
        <n v="3260170.29"/>
        <n v="362421.87"/>
        <n v="5008714.3499999996"/>
        <n v="3334248.71"/>
        <n v="4008747.79"/>
        <n v="5095792.01"/>
        <n v="5585900.25"/>
        <n v="116705297.38"/>
        <n v="105522346.7"/>
        <n v="194091379.91"/>
        <n v="113455969.98"/>
        <n v="111018926.25"/>
        <n v="49684693.719999999"/>
        <n v="221291654.21000001"/>
        <n v="93290078.829999998"/>
        <n v="82580770.319999993"/>
        <n v="88909786.609999999"/>
        <n v="144934623.69"/>
        <n v="94430336.659999996"/>
        <n v="29560213.41"/>
        <n v="101774234.72"/>
        <n v="122521253.05"/>
        <n v="18418192.640000001"/>
        <n v="708169871.5"/>
        <n v="933640140.42999995"/>
        <n v="918099741.09000003"/>
        <n v="1098852329.1800001"/>
        <n v="233428581.22999999"/>
        <n v="366280409.23000002"/>
        <n v="78536622.200000003"/>
        <n v="51334099.969999999"/>
        <n v="63286462.329999998"/>
        <n v="61151575.68"/>
        <n v="100161249.3"/>
        <n v="5609249.7000000002"/>
        <n v="100040044.06"/>
        <n v="56199650.5"/>
        <n v="64183428.600000001"/>
        <n v="39426577.420000002"/>
        <n v="37171157.490000002"/>
        <n v="86118899.730000004"/>
        <n v="42809262.399999999"/>
        <n v="50958169.729999997"/>
        <n v="3293365.24"/>
        <n v="38617754.93"/>
        <n v="71323312.390000001"/>
        <n v="231772354.31999999"/>
        <n v="524037986.26999998"/>
        <n v="299328870.04000002"/>
        <n v="27973045.559999999"/>
        <n v="350224611.60000002"/>
        <n v="247191081.49000001"/>
        <n v="260672265.58000001"/>
        <n v="374178486.80000001"/>
        <n v="88995269.900000006"/>
        <n v="739539312.28999996"/>
        <n v="787315815.61000001"/>
        <n v="502782317.95999998"/>
        <n v="921388688.25999999"/>
        <n v="1000596474.65"/>
        <n v="613711457.14999998"/>
        <n v="728007687.55999994"/>
        <n v="12370112.380000001"/>
        <n v="12013851.52"/>
        <n v="9941329.6199999992"/>
        <n v="8785924.4499999993"/>
        <n v="9012155.2899999991"/>
        <n v="9414954.5500000007"/>
        <n v="1171505.73"/>
        <n v="9193012.1400000006"/>
        <n v="21774639.449999999"/>
        <n v="4360087.41"/>
        <n v="51446798.880000003"/>
        <n v="25934060.039999999"/>
        <n v="19408577.489999998"/>
        <n v="20216177.18"/>
        <n v="28577521.879999999"/>
        <n v="25684294.420000002"/>
        <n v="29155.61"/>
        <n v="1117652.1100000001"/>
        <n v="1288893.28"/>
        <n v="29404.42"/>
        <n v="0"/>
        <n v="95097.33"/>
        <n v="18649.560000000001"/>
        <n v="853456.32"/>
        <n v="1354315.58"/>
        <n v="978198.32"/>
        <n v="1091864.5"/>
        <n v="184381.7"/>
        <n v="1046561.41"/>
        <n v="1279582.29"/>
        <n v="885041.55"/>
        <n v="5580533.6200000001"/>
        <n v="7221354.9500000002"/>
        <n v="9778111.1099999994"/>
        <n v="12877459.66"/>
        <n v="1171377.99"/>
        <n v="9623482.8399999999"/>
        <n v="10601118.460000001"/>
        <n v="8702041.6400000006"/>
        <n v="3700794.03"/>
        <n v="846671.23"/>
        <n v="3324632.06"/>
        <n v="3543697.69"/>
        <n v="3763181.11"/>
        <n v="5006112.45"/>
        <n v="3543290.09"/>
        <n v="5360858.8099999996"/>
        <n v="371255030.99000001"/>
        <n v="751169796.82000005"/>
        <n v="14596998.699999999"/>
        <n v="542096162.77999997"/>
        <n v="338054694.00999999"/>
        <n v="334904538.72000003"/>
        <n v="127349336.65000001"/>
        <n v="450628674.07999998"/>
        <n v="1423979.16"/>
        <n v="1440317.82"/>
        <n v="1429907.07"/>
        <n v="1630343.76"/>
        <n v="1309026.97"/>
        <n v="1298907.94"/>
        <n v="670078.53"/>
        <n v="114725.42"/>
        <n v="5231557.25"/>
        <n v="8749193.1099999994"/>
        <n v="10439583.960000001"/>
        <n v="5547521.7999999998"/>
        <n v="3958240.13"/>
        <n v="4059440.03"/>
        <n v="5756460.71"/>
        <n v="881341.35"/>
        <n v="232368576.12"/>
        <n v="41507956.009999998"/>
        <n v="337952679.91000003"/>
        <n v="240479710.27000001"/>
        <n v="234982930.31999999"/>
        <n v="244407943.49000001"/>
        <n v="216218647.77000001"/>
        <n v="287232047.49000001"/>
        <n v="10478688.68"/>
        <n v="15246792.119999999"/>
        <n v="9733786.4299999997"/>
        <n v="10769764.369999999"/>
        <n v="13969178.82"/>
        <n v="9266688.1600000001"/>
        <n v="8644666.5500000007"/>
        <n v="2143472.8199999998"/>
        <n v="7038379.4000000004"/>
        <n v="12145287.33"/>
        <n v="10275118.359999999"/>
        <n v="7451603.0300000003"/>
        <n v="6477961.6399999997"/>
        <n v="7084470.0099999998"/>
        <n v="6993878.4500000002"/>
        <n v="1923778.2"/>
        <n v="11390162.25"/>
        <n v="10195711.24"/>
        <n v="6753478.3799999999"/>
        <n v="9843233.2200000007"/>
        <n v="6897299.7599999998"/>
        <n v="535454.93000000005"/>
        <n v="4490735.2"/>
        <n v="9098337.7799999993"/>
        <n v="245647675.03"/>
        <n v="119458666.09"/>
        <n v="138120281.78"/>
        <n v="135670319.74000001"/>
        <n v="136220403.03999999"/>
        <n v="12437722.23"/>
        <n v="181315699.25999999"/>
        <n v="128235671.01000001"/>
        <n v="45051043.850000001"/>
        <n v="41797711.909999996"/>
        <n v="47061703.520000003"/>
        <n v="42226608.039999999"/>
        <n v="36066387.82"/>
        <n v="7009694.0899999999"/>
        <n v="74672663.909999996"/>
        <n v="56037546.200000003"/>
        <n v="161798.97"/>
        <n v="108605.88"/>
        <n v="154879.21"/>
        <n v="2392.63"/>
        <n v="2082035.23"/>
        <n v="38887.620000000003"/>
        <n v="400524525"/>
        <n v="643242152.54999995"/>
        <n v="565267834.96000004"/>
        <n v="566066997.04999995"/>
        <n v="998371215.78999996"/>
        <n v="184235298"/>
        <n v="150008563.22999999"/>
        <n v="911788500.00999999"/>
        <n v="506247.05"/>
        <n v="2094034.74"/>
        <n v="2131506.39"/>
        <n v="3091711.79"/>
        <n v="2053909.99"/>
        <n v="2132612.25"/>
        <n v="2779165.46"/>
        <n v="2253979.19"/>
        <n v="245824361.05000001"/>
        <n v="133746033.79000001"/>
        <n v="164430985.06"/>
        <n v="144370343.59999999"/>
        <n v="47887095.310000002"/>
        <n v="224993945.66999999"/>
        <n v="146659146.91999999"/>
        <n v="147061373.44999999"/>
        <n v="102938260.08"/>
        <n v="75751760.359999999"/>
        <n v="62150899.670000002"/>
        <n v="99418636.709999993"/>
        <n v="18106915.010000002"/>
        <n v="70958311.090000004"/>
        <n v="66882524.140000001"/>
        <n v="63153385.600000001"/>
        <n v="71354816.920000002"/>
        <n v="83958282.950000003"/>
        <n v="68730680.299999997"/>
        <n v="85164228.890000001"/>
        <n v="74459212.540000007"/>
        <n v="108699350.79000001"/>
        <n v="116407755.66"/>
        <n v="21344672.050000001"/>
        <n v="22544912.469999999"/>
        <n v="23169995.16"/>
        <n v="6957213.7599999998"/>
        <n v="34838741.979999997"/>
        <n v="21786099.620000001"/>
        <n v="21069680.57"/>
        <n v="20871118.949999999"/>
        <n v="32522453.77"/>
        <n v="14596585.49"/>
        <n v="13190439.130000001"/>
        <n v="13702750.539999999"/>
        <n v="3289657.11"/>
        <n v="19375997.539999999"/>
        <n v="13612254.449999999"/>
        <n v="23457423.199999999"/>
        <n v="13323923.25"/>
        <n v="93437655.299999997"/>
        <n v="64528858.549999997"/>
        <n v="20778215.010000002"/>
        <n v="65126772.07"/>
        <n v="64141832.399999999"/>
        <n v="62941798.57"/>
        <n v="71302831.549999997"/>
        <n v="109619002.36"/>
        <n v="26192234.670000002"/>
        <n v="22445385.890000001"/>
        <n v="21660689.59"/>
        <n v="22702389.66"/>
        <n v="21803631.890000001"/>
        <n v="7033591.0800000001"/>
        <n v="30758999.890000001"/>
        <n v="37332943.850000001"/>
        <n v="62983211.869999997"/>
        <n v="22334188.120000001"/>
        <n v="94581917.780000001"/>
        <n v="60880780.57"/>
        <n v="67688515.519999996"/>
        <n v="68176981.170000002"/>
        <n v="100590790.48"/>
        <n v="67752245.719999999"/>
        <n v="54632181.25"/>
        <n v="16301759.52"/>
        <n v="88387279.700000003"/>
        <n v="49984985.390000001"/>
        <n v="51296869.729999997"/>
        <n v="53094563.479999997"/>
        <n v="60199839.280000001"/>
        <n v="75727557.129999995"/>
        <n v="8562962.75"/>
        <n v="28867899.469999999"/>
        <n v="29321211.16"/>
        <n v="39599261.079999998"/>
        <n v="57653415.289999999"/>
        <n v="25561912.280000001"/>
        <n v="27413142.829999998"/>
        <n v="24030480.620000001"/>
        <n v="124247237.06"/>
        <n v="192136008.05000001"/>
        <n v="168557785.09"/>
        <n v="119084645.55"/>
        <n v="114162442.83"/>
        <n v="119826800.06"/>
        <n v="116763546.18000001"/>
        <n v="39633648.380000003"/>
        <n v="36205975.990000002"/>
        <n v="38752326.899999999"/>
        <n v="8270535.79"/>
        <n v="22687557.949999999"/>
        <n v="25245368.969999999"/>
        <n v="25630814.68"/>
        <n v="22934820.350000001"/>
        <n v="28461824.170000002"/>
        <n v="27578152.890000001"/>
        <n v="8382560.3399999999"/>
        <n v="56708383.899999999"/>
        <n v="28781616.719999999"/>
        <n v="32192436.25"/>
        <n v="26803411.399999999"/>
        <n v="39512064.100000001"/>
        <n v="32900129.41"/>
        <n v="4976461.41"/>
        <n v="25786616.789999999"/>
        <n v="15195972.35"/>
        <n v="17210772.489999998"/>
        <n v="18939160.010000002"/>
        <n v="23526210.739999998"/>
        <n v="17772813.949999999"/>
        <n v="16658081.119999999"/>
        <n v="19082800.670000002"/>
        <n v="73727870.969999999"/>
        <n v="69609770.799999997"/>
        <n v="69469993.109999999"/>
        <n v="66363960.509999998"/>
        <n v="97304477.879999995"/>
        <n v="112401873.86"/>
        <n v="66800673.82"/>
        <n v="72721547.469999999"/>
        <n v="107349064.70999999"/>
        <n v="82006253.049999997"/>
        <n v="124319536.38"/>
        <n v="74944262.569999993"/>
        <n v="69868337.040000007"/>
        <n v="21394894.710000001"/>
        <n v="68540240.709999993"/>
        <n v="9754212.6699999999"/>
        <n v="27689702.949999999"/>
        <n v="32026557.489999998"/>
        <n v="25945350.809999999"/>
        <n v="45697768.810000002"/>
        <n v="29566509.18"/>
        <n v="38961639.920000002"/>
        <n v="28162278.960000001"/>
        <n v="69469782.230000004"/>
        <n v="57465283.329999998"/>
        <n v="101509467.08"/>
        <n v="16289209.25"/>
        <n v="88895082.060000002"/>
        <n v="58142607.149999999"/>
        <n v="64265685.780000001"/>
        <n v="65519985.689999998"/>
        <n v="34969414.460000001"/>
        <n v="28265388.010000002"/>
        <n v="30114103.969999999"/>
        <n v="28168096.300000001"/>
        <n v="9446338.8000000007"/>
        <n v="27261432.280000001"/>
        <n v="48075227.909999996"/>
        <n v="38012130.549999997"/>
        <n v="5063269.62"/>
        <n v="15491915.4"/>
        <n v="21300786.129999999"/>
        <n v="25140892.690000001"/>
        <n v="18309432.579999998"/>
        <n v="21466417.879999999"/>
        <n v="22908040.859999999"/>
        <n v="28555739.579999998"/>
        <n v="231859665.65000001"/>
        <n v="288671258.91000003"/>
        <n v="387261385.55000001"/>
        <n v="396273591.25"/>
        <n v="337929909.55000001"/>
        <n v="414630079.50999999"/>
        <n v="568916368.25"/>
        <n v="2362838145.6799998"/>
        <n v="866013776.53999996"/>
        <n v="695578997.62"/>
        <n v="1161784156.54"/>
        <n v="529161229.26999998"/>
        <n v="257805764.52000001"/>
        <n v="401853191.01999998"/>
        <n v="471797034.94999999"/>
        <n v="1952295600.49"/>
        <n v="1679842605.5599999"/>
        <n v="2017272809.28"/>
        <n v="1708169575.3599999"/>
        <n v="1911968183.6800001"/>
        <n v="3031199487.7199998"/>
        <n v="1699048593.79"/>
        <n v="50714.76"/>
        <n v="106424187.79000001"/>
        <n v="78867937.879999995"/>
        <n v="13477.66"/>
        <n v="27967742.690000001"/>
        <n v="66271290.25"/>
        <n v="5716401.4500000002"/>
        <n v="29485576.949999999"/>
        <n v="9922480910.1599998"/>
        <n v="9586522949.7800007"/>
        <n v="9402009643.8299999"/>
        <n v="10476597516.59"/>
        <n v="10471770817.42"/>
        <n v="4141794090.0500002"/>
        <n v="10369013337.639999"/>
        <n v="2688546582.04"/>
        <n v="47775592.850000001"/>
        <n v="29672484.399999999"/>
        <n v="30594643.25"/>
        <n v="6561085.8300000001"/>
        <n v="73248205.549999997"/>
        <n v="33655.06"/>
        <n v="33969.870000000003"/>
        <n v="35919.339999999997"/>
        <n v="34305.35"/>
        <n v="35163.69"/>
        <n v="1242677787.1300001"/>
        <n v="34415.39"/>
        <n v="205271.03"/>
        <n v="430918.44"/>
        <n v="430907.88"/>
        <n v="430914.84"/>
        <n v="19430904.469999999"/>
        <n v="468261.51"/>
        <n v="430921.81"/>
        <n v="349745570.98000002"/>
        <n v="10859768.66"/>
        <n v="11748893.460000001"/>
        <n v="44211350.659999996"/>
        <n v="32617429.960000001"/>
        <n v="42971311.539999999"/>
        <n v="7711510.8799999999"/>
        <n v="3533833.47"/>
        <n v="2619465.1"/>
        <n v="5104320.59"/>
        <n v="4405314.33"/>
        <n v="369324.51"/>
        <n v="5977669.3899999997"/>
        <n v="1687571.58"/>
        <n v="5248422.74"/>
        <n v="126410742.20999999"/>
        <n v="18644425.07"/>
        <n v="152170769.56"/>
        <n v="101478124.13"/>
        <n v="170756154.03"/>
        <n v="201829542.99000001"/>
        <n v="16874772.460000001"/>
        <n v="200860977.81"/>
        <n v="187534531.11000001"/>
        <n v="230751529.25999999"/>
        <n v="89029170453.550003"/>
        <n v="96046175500.490005"/>
        <n v="88252463246.259995"/>
        <n v="13754852577.74"/>
        <n v="63761537666.209999"/>
        <n v="64606071509.459999"/>
        <n v="64474521750.93"/>
        <n v="71793374054.619995"/>
        <n v="23650000"/>
        <n v="220517218.81999999"/>
        <n v="2098.16"/>
        <n v="65131.97"/>
        <n v="56108.97"/>
        <n v="39066.36"/>
        <n v="59732.9"/>
        <n v="573876.18000000005"/>
        <n v="9464.02"/>
        <n v="574009668.21000004"/>
        <n v="361847445.01999998"/>
        <n v="402782140.77999997"/>
        <n v="274818075.20999998"/>
        <n v="170038815.09"/>
        <n v="249369464.77000001"/>
        <n v="208024291.84999999"/>
        <n v="301092.73"/>
        <n v="4706336.78"/>
        <n v="789868.98"/>
        <n v="5295973"/>
        <n v="757552.09"/>
        <n v="264148102.41"/>
        <n v="80248906.700000003"/>
        <n v="224066662.34999999"/>
        <n v="81314188.489999995"/>
        <n v="166274799.74000001"/>
        <n v="156721687.88"/>
        <n v="92461209.609999999"/>
        <n v="265515518.13"/>
        <n v="4712365629.8299999"/>
        <n v="2254492293.3400002"/>
        <n v="5334445049.3100004"/>
        <n v="5740654618.6700001"/>
        <n v="2450719497.9000001"/>
        <n v="5580842566.1300001"/>
        <n v="4554058069.79"/>
        <n v="5800938963.9899998"/>
        <n v="13333.34"/>
        <n v="36502919.82"/>
        <n v="556605552.87"/>
        <n v="36737645.159999996"/>
        <n v="33982045.420000002"/>
        <n v="21075577.920000002"/>
        <n v="33097134.77"/>
        <n v="47816472.210000001"/>
        <n v="21320746.18"/>
        <n v="5429.25"/>
        <n v="6446.78"/>
        <n v="3023622.58"/>
        <n v="3531343.15"/>
        <n v="146889953.30000001"/>
        <n v="12219922.630000001"/>
        <n v="8192184.6399999997"/>
        <n v="6931279.0499999998"/>
        <n v="1914705.15"/>
        <n v="10217079.01"/>
        <n v="5329774.54"/>
        <n v="7763846.7400000002"/>
        <n v="7761535.9100000001"/>
        <n v="217603.88"/>
        <n v="615588.43000000005"/>
        <n v="697338.13"/>
        <n v="540646.84"/>
        <n v="952610.89"/>
        <n v="818805.14"/>
        <n v="1241103.27"/>
        <n v="571391.44999999995"/>
        <n v="145426659.49000001"/>
        <n v="206235113.28999999"/>
        <n v="126850904.90000001"/>
        <n v="131850406.31"/>
        <n v="140130712.09"/>
        <n v="158100169.59"/>
        <n v="25784084.239999998"/>
        <n v="157406630.05000001"/>
        <n v="137128548.66999999"/>
        <n v="144949943.59999999"/>
        <n v="118023019.65000001"/>
        <n v="148612292.19999999"/>
        <n v="47861143.200000003"/>
        <n v="156960521.58000001"/>
        <n v="108826043.79000001"/>
        <n v="130422230.14"/>
        <n v="19205420.75"/>
        <n v="1632154.08"/>
        <n v="29015688.52"/>
        <n v="30327916.199999999"/>
        <n v="12138740.01"/>
        <n v="18324500.82"/>
        <n v="14234686.869999999"/>
        <n v="16755388.119999999"/>
        <n v="1414736.92"/>
        <n v="13578720.880000001"/>
        <n v="5445448.5599999996"/>
        <n v="12665438.529999999"/>
        <n v="20338123.600000001"/>
        <n v="14403798.439999999"/>
        <n v="12478418.08"/>
        <n v="11210061.35"/>
        <n v="115394385.75"/>
        <n v="120459000.90000001"/>
        <n v="158630056.61000001"/>
        <n v="121484901.01000001"/>
        <n v="183886436.61000001"/>
        <n v="23369938.66"/>
        <n v="99797405.299999997"/>
        <n v="110183136.3"/>
        <n v="63300526.159999996"/>
        <n v="88079475.560000002"/>
        <n v="43847587.729999997"/>
        <n v="57236345.149999999"/>
        <n v="78467550.629999995"/>
        <n v="54968098.399999999"/>
        <n v="60801967.939999998"/>
        <n v="10684272.550000001"/>
        <n v="28988446.25"/>
        <n v="29782464.07"/>
        <n v="48940840.270000003"/>
        <n v="27306897.800000001"/>
        <n v="28017113.809999999"/>
        <n v="7616625.1799999997"/>
        <n v="31888342.25"/>
        <n v="43189328.700000003"/>
        <n v="6443819.6299999999"/>
        <n v="6552487.7199999997"/>
        <n v="7002792.9800000004"/>
        <n v="6230299.5300000003"/>
        <n v="7650589.8099999996"/>
        <n v="8615757.6799999997"/>
        <n v="5426141.6399999997"/>
        <n v="1399917.66"/>
        <n v="22687032.960000001"/>
        <n v="3356377.81"/>
        <n v="40452478.329999998"/>
        <n v="33889470.090000004"/>
        <n v="20140668.329999998"/>
        <n v="22453266.370000001"/>
        <n v="23949893.09"/>
        <n v="16778617.09"/>
        <n v="8422452.0299999993"/>
        <n v="26645799.079999998"/>
        <n v="31266917.129999999"/>
        <n v="26094060.760000002"/>
        <n v="37924842.609999999"/>
        <n v="44682048.920000002"/>
        <n v="27693989.280000001"/>
        <n v="25163917.969999999"/>
        <n v="9471676.6099999994"/>
        <n v="30200875.289999999"/>
        <n v="47739159.210000001"/>
        <n v="31009543.57"/>
        <n v="43662613.130000003"/>
        <n v="29595355.27"/>
        <n v="27811068.219999999"/>
        <n v="32747919.100000001"/>
        <n v="14838021.279999999"/>
        <n v="52681686.280000001"/>
        <n v="66963660.240000002"/>
        <n v="79932552.349999994"/>
        <n v="45663195.68"/>
        <n v="47757407.229999997"/>
        <n v="50144147.979999997"/>
        <n v="57850965.380000003"/>
        <n v="43599863.270000003"/>
        <n v="53151694.119999997"/>
        <n v="46344717.289999999"/>
        <n v="43358920.609999999"/>
        <n v="46124745.090000004"/>
        <n v="14258463.57"/>
        <n v="62834783.979999997"/>
        <n v="73802161.069999993"/>
        <n v="31000242.77"/>
        <n v="29314080.98"/>
        <n v="45397445.560000002"/>
        <n v="33049218.530000001"/>
        <n v="37297614.609999999"/>
        <n v="27613966.469999999"/>
        <n v="28591003.309999999"/>
        <n v="9606723.5"/>
        <n v="21702019.170000002"/>
        <n v="28065383.920000002"/>
        <n v="6685711.0199999996"/>
        <n v="20382504.34"/>
        <n v="21108301.609999999"/>
        <n v="21435457.359999999"/>
        <n v="30105788.41"/>
        <n v="23164540.52"/>
        <n v="36339979.060000002"/>
        <n v="11783589.300000001"/>
        <n v="40660006.649999999"/>
        <n v="36169349.840000004"/>
        <n v="49330154.539999999"/>
        <n v="62394290.030000001"/>
        <n v="38615196.640000001"/>
        <n v="39304098.420000002"/>
        <n v="33382924.960000001"/>
        <n v="56874173.600000001"/>
        <n v="48261386.009999998"/>
        <n v="35571485.329999998"/>
        <n v="32811997.050000001"/>
        <n v="34217700.479999997"/>
        <n v="40312881.960000001"/>
        <n v="10443546.26"/>
        <n v="13624765.630000001"/>
        <n v="43800336.960000001"/>
        <n v="62047790.899999999"/>
        <n v="52594229.939999998"/>
        <n v="46291112.630000003"/>
        <n v="48544982.009999998"/>
        <n v="73601067.879999995"/>
        <n v="43293126.759999998"/>
        <n v="29801880.34"/>
        <n v="18505453.949999999"/>
        <n v="15930111.52"/>
        <n v="20020899.84"/>
        <n v="19425870.760000002"/>
        <n v="5297873.96"/>
        <n v="27508325.07"/>
        <n v="20210856.239999998"/>
        <n v="11478633.539999999"/>
        <n v="3223540.01"/>
        <n v="10795806.390000001"/>
        <n v="11231958.050000001"/>
        <n v="16080921.27"/>
        <n v="12956198.859999999"/>
        <n v="10184212.09"/>
        <n v="17942878.109999999"/>
        <n v="77445987.890000001"/>
        <n v="44174533.670000002"/>
        <n v="48392040.409999996"/>
        <n v="14677969.779999999"/>
        <n v="48769661.600000001"/>
        <n v="47398610.640000001"/>
        <n v="66074706.350000001"/>
        <n v="46842099.969999999"/>
        <n v="21727628.530000001"/>
        <n v="24110037.120000001"/>
        <n v="22656868.420000002"/>
        <n v="22567291.440000001"/>
        <n v="6682181.8600000003"/>
        <n v="21474654.41"/>
        <n v="35930023.68"/>
        <n v="31131148.109999999"/>
        <n v="114287395.25"/>
        <n v="78969678.319999993"/>
        <n v="23892668.149999999"/>
        <n v="78803310"/>
        <n v="89522594.629999995"/>
        <n v="125874109.48"/>
        <n v="72750897.049999997"/>
        <n v="73832722.049999997"/>
        <n v="9925186.2699999996"/>
        <n v="16016560.23"/>
        <n v="10143747.91"/>
        <n v="9364364.1500000004"/>
        <n v="10370359.119999999"/>
        <n v="3060811.9"/>
        <n v="15347020.289999999"/>
        <n v="10262366.869999999"/>
        <n v="7551378.46"/>
        <n v="10452823.050000001"/>
        <n v="9388830.9199999999"/>
        <n v="10842079.91"/>
        <n v="13277272.5"/>
        <n v="7767727.29"/>
        <n v="7741999.7599999998"/>
        <n v="2327825.7000000002"/>
        <n v="25410773.850000001"/>
        <n v="8483459.2599999998"/>
        <n v="34031860.990000002"/>
        <n v="42820039.960000001"/>
        <n v="48787204.920000002"/>
        <n v="29711539.699999999"/>
        <n v="30550035.379999999"/>
        <n v="32445122.66"/>
        <n v="61061986.130000003"/>
        <n v="68332345.340000004"/>
        <n v="63543502.100000001"/>
        <n v="89808587.010000005"/>
        <n v="19297736.690000001"/>
        <n v="66623166.490000002"/>
        <n v="100204970.81"/>
        <n v="59535385.920000002"/>
        <n v="77483446.579999998"/>
        <n v="17311308.260000002"/>
        <n v="60470947.789999999"/>
        <n v="55570841.93"/>
        <n v="64432578.460000001"/>
        <n v="55722765.270000003"/>
        <n v="56275978.729999997"/>
        <n v="97399294.859999999"/>
        <n v="59793694.439999998"/>
        <n v="75417319.989999995"/>
        <n v="83114940.859999999"/>
        <n v="15994881.189999999"/>
        <n v="55686136.380000003"/>
        <n v="53403186.649999999"/>
        <n v="50014056.979999997"/>
        <n v="49102245.119999997"/>
        <n v="39500451.990000002"/>
        <n v="11183316.16"/>
        <n v="42396826.520000003"/>
        <n v="38249714.450000003"/>
        <n v="36126674.270000003"/>
        <n v="54408304"/>
        <n v="66372479.5"/>
        <n v="34826657.409999996"/>
        <n v="17244426.219999999"/>
        <n v="27065991.52"/>
        <n v="15432496.630000001"/>
        <n v="29372199.460000001"/>
        <n v="5055466.3899999997"/>
        <n v="17734817.649999999"/>
        <n v="17025490.43"/>
        <n v="18069959.489999998"/>
        <n v="6469444.75"/>
        <n v="23500742.859999999"/>
        <n v="24766635.239999998"/>
        <n v="36032771.299999997"/>
        <n v="21242544.469999999"/>
        <n v="20812164.66"/>
        <n v="22725231.859999999"/>
        <n v="33478740.949999999"/>
        <n v="34332667.409999996"/>
        <n v="42007558.32"/>
        <n v="34966065.409999996"/>
        <n v="38262104.299999997"/>
        <n v="56359498.75"/>
        <n v="11507957.73"/>
        <n v="58627497.93"/>
        <n v="37420391.399999999"/>
        <n v="65107622.990000002"/>
        <n v="46861158.590000004"/>
        <n v="48588812"/>
        <n v="12305921.689999999"/>
        <n v="39771794.310000002"/>
        <n v="42177240.829999998"/>
        <n v="38725110.780000001"/>
        <n v="61403723.850000001"/>
        <n v="41741386.539999999"/>
        <n v="37874303.960000001"/>
        <n v="42602451.890000001"/>
        <n v="40928113.560000002"/>
        <n v="36462193.159999996"/>
        <n v="54488689.259999998"/>
        <n v="62777275.259999998"/>
        <n v="11648206.02"/>
        <n v="41295659.729999997"/>
        <n v="34447578.32"/>
        <n v="55371746.390000001"/>
        <n v="34998599.409999996"/>
        <n v="11202431.869999999"/>
        <n v="32759489.620000001"/>
        <n v="35397838.560000002"/>
        <n v="49033109.380000003"/>
        <n v="49535216.899999999"/>
        <n v="47984211.659999996"/>
        <n v="49129296.700000003"/>
        <n v="81923900.469999999"/>
        <n v="60757952.68"/>
        <n v="15860302.609999999"/>
        <n v="50827437.369999997"/>
        <n v="57839174.920000002"/>
        <n v="38409487.990000002"/>
        <n v="43866045.789999999"/>
        <n v="12062073.960000001"/>
        <n v="35848610.82"/>
        <n v="36890522.289999999"/>
        <n v="38846440.009999998"/>
        <n v="61672630.920000002"/>
        <n v="53704962.060000002"/>
        <n v="4805337.45"/>
        <n v="14865520.43"/>
        <n v="15545148.470000001"/>
        <n v="21318454.5"/>
        <n v="15970353.99"/>
        <n v="18026525.84"/>
        <n v="15349305.35"/>
        <n v="25595918.77"/>
        <n v="7606593.71"/>
        <n v="27582294.030000001"/>
        <n v="24123873.219999999"/>
        <n v="38716868.57"/>
        <n v="23457787.620000001"/>
        <n v="22702254.890000001"/>
        <n v="23772649.77"/>
        <n v="35335135.780000001"/>
        <n v="23848308.010000002"/>
        <n v="38669182.490000002"/>
        <n v="30543292.109999999"/>
        <n v="26216272.940000001"/>
        <n v="6319445.0499999998"/>
        <n v="20177513.210000001"/>
        <n v="22485209.010000002"/>
        <n v="22700010.969999999"/>
        <n v="3667415.18"/>
        <n v="20748614.66"/>
        <n v="19737103.350000001"/>
        <n v="23612777.25"/>
        <n v="20038220.699999999"/>
        <n v="20036136.460000001"/>
        <n v="31488747.399999999"/>
        <n v="27931071.390000001"/>
        <n v="6325659.5899999999"/>
        <n v="18709070.670000002"/>
        <n v="23133582.539999999"/>
        <n v="20500051.02"/>
        <n v="32438291.75"/>
        <n v="18811720.07"/>
        <n v="27854716.219999999"/>
        <n v="20098365.309999999"/>
        <n v="40507505.390000001"/>
        <n v="23521927.539999999"/>
        <n v="29302577.09"/>
        <n v="25288642.079999998"/>
        <n v="34571990.770000003"/>
        <n v="24996340.620000001"/>
        <n v="25349878.170000002"/>
        <n v="7789419.0999999996"/>
        <n v="33770697.219999999"/>
        <n v="51500981.939999998"/>
        <n v="31680336.530000001"/>
        <n v="10041345.380000001"/>
        <n v="33113991.48"/>
        <n v="33550370.52"/>
        <n v="50587376.310000002"/>
        <n v="33859944.149999999"/>
        <n v="35967919.93"/>
        <n v="26476958.359999999"/>
        <n v="40954583.770000003"/>
        <n v="24862337.68"/>
        <n v="27536099.41"/>
        <n v="28544304.23"/>
        <n v="9033351.5"/>
        <n v="30213357.120000001"/>
        <n v="38377723.490000002"/>
        <n v="50645915.210000001"/>
        <n v="35874245.259999998"/>
        <n v="38255928.909999996"/>
        <n v="39012357.939999998"/>
        <n v="60724195.149999999"/>
        <n v="35243994.719999999"/>
        <n v="11761609.24"/>
        <n v="41500890.219999999"/>
        <n v="26640800.07"/>
        <n v="8863964.2200000007"/>
        <n v="28883206.48"/>
        <n v="26479381.91"/>
        <n v="26631670.199999999"/>
        <n v="27788359.27"/>
        <n v="38495062.090000004"/>
        <n v="94867085.989999995"/>
        <n v="19450381.879999999"/>
        <n v="103087954.28"/>
        <n v="178768669.31"/>
        <n v="172774526.31999999"/>
        <n v="103869538.18000001"/>
        <n v="111075356.48"/>
        <n v="104844186.62"/>
        <n v="2508326.75"/>
        <n v="21765873.300000001"/>
        <n v="19352917.649999999"/>
        <n v="20794807.629999999"/>
        <n v="10199043.08"/>
        <n v="26234130.579999998"/>
        <n v="28509569.760000002"/>
        <n v="27168214.199999999"/>
        <n v="59354560.700000003"/>
        <n v="70686866.579999998"/>
        <n v="7090007.7599999998"/>
        <n v="73417621.310000002"/>
        <n v="72681845.370000005"/>
        <n v="61408811.340000004"/>
        <n v="60455418.75"/>
        <n v="83388132.400000006"/>
        <n v="70591.58"/>
        <n v="1898997.5"/>
        <n v="1127630.6399999999"/>
        <n v="1964447.75"/>
        <n v="2374561.0099999998"/>
        <n v="2331679.79"/>
        <n v="2473184.23"/>
        <n v="2098760.44"/>
        <n v="8875829879.5699997"/>
        <n v="8072050797.0500002"/>
        <n v="8112546147.6199999"/>
        <n v="3629621020.8499999"/>
        <n v="8034771280.9799995"/>
        <n v="8319920206.3299999"/>
        <n v="7894445817.3100004"/>
        <n v="8157353541.29"/>
        <n v="282681161.74000001"/>
        <n v="558840753.58000004"/>
        <n v="63569374.600000001"/>
        <n v="496270695.81"/>
        <n v="297051219.11000001"/>
        <n v="302259764.48000002"/>
        <n v="577250077.09000003"/>
        <n v="291571123.83999997"/>
        <n v="311622296.33999997"/>
        <n v="176111630"/>
        <n v="393042012.44999999"/>
        <n v="28996001.300000001"/>
        <n v="172711917.94999999"/>
        <n v="175686618.16999999"/>
        <n v="430554663.51999998"/>
        <n v="161777637.59"/>
        <n v="5609299.1799999997"/>
        <n v="9460373.6799999997"/>
        <n v="9345629.3300000001"/>
        <n v="30110055.300000001"/>
        <n v="12690657.310000001"/>
        <n v="16382998.369999999"/>
        <n v="35967233.130000003"/>
        <n v="29619646.280000001"/>
        <n v="6208459.9100000001"/>
        <n v="53108140.189999998"/>
        <n v="66063859.210000001"/>
        <n v="74322691.629999995"/>
        <n v="64979953.640000001"/>
        <n v="24826958.25"/>
        <n v="106070403.48"/>
        <n v="93953811.010000005"/>
        <n v="73593516.019999996"/>
        <n v="66722454.18"/>
        <n v="8639085.5899999999"/>
        <n v="74709317.269999996"/>
        <n v="52553575.060000002"/>
        <n v="72715600.519999996"/>
        <n v="82212576173.470001"/>
        <n v="84211811327.630005"/>
        <n v="67125229741.68"/>
        <n v="457561071916.13"/>
        <n v="343154273351.91998"/>
        <n v="40127753920.279999"/>
        <n v="313384096899.04999"/>
        <n v="249756343939.51001"/>
        <n v="2282988344.29"/>
        <n v="572315736"/>
        <n v="2394166346.8400002"/>
        <n v="4400673097.6700001"/>
        <n v="3697222633.73"/>
        <n v="2657931733.5599999"/>
        <n v="2715457912.1500001"/>
        <n v="2511691377.4699998"/>
        <n v="7199.75"/>
        <n v="138872.85"/>
        <n v="193359.46"/>
        <n v="76079.850000000006"/>
        <n v="58198.58"/>
        <n v="176943.2"/>
        <n v="44429534.219999999"/>
        <n v="79556174.700000003"/>
        <n v="50469070.439999998"/>
        <n v="92960071.689999998"/>
        <n v="67331104.049999997"/>
        <n v="269658294.24000001"/>
        <n v="22452942.57"/>
        <n v="38394045.240000002"/>
        <n v="44172727.329999998"/>
        <n v="61831209.530000001"/>
        <n v="48363218.380000003"/>
        <n v="60498605.640000001"/>
        <n v="11145538.23"/>
        <n v="78011441.790000007"/>
        <n v="54557136.920000002"/>
        <n v="72104187.849999994"/>
        <n v="245807.18"/>
        <n v="96422.34"/>
        <n v="228559.46"/>
        <n v="3753826.89"/>
        <n v="391211.57"/>
        <n v="250564.05"/>
        <n v="2866.69"/>
        <n v="64706.17"/>
        <n v="7412.79"/>
        <n v="263328.77"/>
        <n v="108842.89"/>
        <n v="400951"/>
        <n v="879998.47"/>
        <n v="120642.69"/>
        <n v="10922420744.35"/>
        <n v="14051073044.6"/>
        <n v="11188716307.790001"/>
        <n v="19168679219.790001"/>
        <n v="10356950846.110001"/>
        <n v="12378904904.26"/>
        <n v="6433622541.6000004"/>
        <n v="8596523351.8500004"/>
        <n v="30276444.079999998"/>
        <n v="156205.5"/>
        <n v="3546973745.29"/>
        <n v="866526485.61000001"/>
        <n v="18119558.98"/>
        <n v="8099533.6600000001"/>
        <n v="15236703.66"/>
        <n v="6587813.6100000003"/>
        <n v="7013030.2999999998"/>
        <n v="881816.51"/>
        <n v="6718637.4800000004"/>
        <n v="13578931.74"/>
        <n v="21155333.5"/>
        <n v="99065.85"/>
        <n v="108464.74"/>
        <n v="28825.29"/>
        <n v="185364.85"/>
        <n v="111967.61"/>
        <n v="118971.48"/>
        <n v="347720296.98000002"/>
        <n v="346655181.98000002"/>
        <n v="317202514.51999998"/>
        <n v="215632885.87"/>
        <n v="323120100.61000001"/>
        <n v="450966019.80000001"/>
        <n v="213403043.38"/>
        <n v="332433124.27999997"/>
        <n v="34038050.729999997"/>
        <n v="23408170.199999999"/>
        <n v="22720735.530000001"/>
        <n v="24003759.41"/>
        <n v="35782931.950000003"/>
        <n v="43886871.200000003"/>
        <n v="1322465.3999999999"/>
        <n v="20719379.23"/>
        <n v="1053471.49"/>
        <n v="1784496.36"/>
        <n v="230390.14"/>
        <n v="6988936.4500000002"/>
        <n v="256946438.28"/>
        <n v="157696398.87"/>
        <n v="14165573199.42"/>
        <n v="14033471997.360001"/>
        <n v="13655699459.9"/>
        <n v="13256137531.450001"/>
        <n v="15440424015.91"/>
        <n v="14163365357.540001"/>
        <n v="13720769927.799999"/>
        <n v="14645601763.129999"/>
        <n v="45196.29"/>
        <n v="167177.94"/>
        <n v="906897835.25"/>
        <n v="136323.63"/>
        <n v="22994976.149999999"/>
        <n v="1657480.05"/>
        <n v="153533.22"/>
        <n v="430193.93"/>
        <n v="9709514.4100000001"/>
        <n v="16693449.17"/>
        <n v="974103.09"/>
        <n v="1867355.65"/>
        <n v="7117199.7199999997"/>
        <n v="23510605.510000002"/>
        <n v="10791535.539999999"/>
        <n v="14018812.439999999"/>
        <n v="12752747.91"/>
        <n v="17177128.84"/>
        <n v="20157356.789999999"/>
        <n v="14529810.060000001"/>
        <n v="3204454.56"/>
        <n v="24375494.23"/>
        <n v="6060097.21"/>
        <n v="156699320.12"/>
        <n v="78443472.780000001"/>
        <n v="5574140.6500000004"/>
        <n v="26204920.41"/>
        <n v="1546682.69"/>
        <n v="123916003.56"/>
        <n v="256472265.16999999"/>
        <n v="335167579.00999999"/>
        <n v="289810399.42000002"/>
        <n v="312690431.05000001"/>
        <n v="256519194.69999999"/>
        <n v="259041384.66"/>
        <n v="318412899.07999998"/>
        <n v="11056131.34"/>
        <n v="11194528.369999999"/>
        <n v="10613632.58"/>
        <n v="3333861.67"/>
        <n v="18808598.27"/>
        <n v="8775997.8300000001"/>
        <n v="25427437.190000001"/>
        <n v="13857946.210000001"/>
        <n v="892977.26"/>
        <n v="6082142.1399999997"/>
        <n v="12735925.68"/>
        <n v="25501966.170000002"/>
        <n v="18113964.43"/>
        <n v="12104608.880000001"/>
        <n v="18401843.780000001"/>
        <n v="12156327.359999999"/>
        <n v="14869148.550000001"/>
        <n v="2088318.41"/>
        <n v="28934259.48"/>
        <n v="25104685.920000002"/>
        <n v="29557386.649999999"/>
        <n v="32818375.59"/>
        <n v="30322157.289999999"/>
        <n v="21583446.030000001"/>
        <n v="43065953.509999998"/>
        <n v="8698342.4499999993"/>
        <n v="30399328.030000001"/>
        <n v="30685963.489999998"/>
        <n v="31803260.010000002"/>
        <n v="48538148.460000001"/>
        <n v="27297178.300000001"/>
        <n v="30915898.420000002"/>
        <n v="627558200.82000005"/>
        <n v="761506750.11000001"/>
        <n v="197103423.37"/>
        <n v="661872052.57000005"/>
        <n v="584895615.83000004"/>
        <n v="697123211.97000003"/>
        <n v="883236081.97000003"/>
        <n v="873702876.53999996"/>
        <n v="476503122.79000002"/>
        <n v="416255834.07999998"/>
        <n v="415737305.64999998"/>
        <n v="583003307.05999994"/>
        <n v="627503227.63999999"/>
        <n v="472366169.86000001"/>
        <n v="125445654.01000001"/>
        <n v="428161252.10000002"/>
        <n v="89821591.540000007"/>
        <n v="76780603.329999998"/>
        <n v="72690763.459999993"/>
        <n v="87697668.099999994"/>
        <n v="22615858.309999999"/>
        <n v="175742881.53999999"/>
        <n v="116337663.29000001"/>
        <n v="97433066.420000002"/>
        <n v="339355.7"/>
        <n v="320030.34000000003"/>
        <n v="263539.42"/>
        <n v="323020.40999999997"/>
        <n v="22692.68"/>
        <n v="410227.79"/>
        <n v="1266.28"/>
        <n v="382126.02"/>
        <n v="10602865.42"/>
        <n v="2090847.9"/>
        <n v="7030169.9400000004"/>
        <n v="8528656.6400000006"/>
        <n v="14010584.49"/>
        <n v="8964274.6099999994"/>
        <n v="16075429.9"/>
        <n v="11698180.43"/>
        <n v="1059634.8"/>
        <n v="1349275.73"/>
        <n v="2601325.5699999998"/>
        <n v="1964747.94"/>
        <n v="1862235.36"/>
        <n v="2105234.34"/>
        <n v="315786.09000000003"/>
        <n v="2390279.17"/>
        <n v="17991072.960000001"/>
        <n v="29030563.02"/>
        <n v="5144865.29"/>
        <n v="19599638.390000001"/>
        <n v="17859034.309999999"/>
        <n v="24579968.170000002"/>
        <n v="19523525.949999999"/>
        <n v="16093146.460000001"/>
        <n v="2764594.75"/>
        <n v="2684486.51"/>
        <n v="676297.84"/>
        <n v="2426287.8199999998"/>
        <n v="4012901.25"/>
        <n v="2735089.78"/>
        <n v="4642601.82"/>
        <n v="2507443.27"/>
        <n v="3451403.52"/>
        <n v="3388043.1"/>
        <n v="5656715.5700000003"/>
        <n v="3586501.13"/>
        <n v="922599.78"/>
        <n v="3281941.83"/>
        <n v="4186192.72"/>
        <n v="3636988.9"/>
        <n v="588189.25"/>
        <n v="3690886.76"/>
        <n v="2684533.06"/>
        <n v="3903933.93"/>
        <n v="2881624.94"/>
        <n v="3157133.77"/>
        <n v="3111414.36"/>
        <n v="2961555.14"/>
        <n v="51769685.189999998"/>
        <n v="7179180.9100000001"/>
        <n v="27287791.030000001"/>
        <n v="28443065.260000002"/>
        <n v="22220903.920000002"/>
        <n v="43032797.390000001"/>
        <n v="57351655.149999999"/>
        <n v="43992513.479999997"/>
        <n v="12613030.67"/>
        <n v="18986148.129999999"/>
        <n v="17176794.550000001"/>
        <n v="12526386.029999999"/>
        <n v="11831123.1"/>
        <n v="13251207.699999999"/>
        <n v="3219067.33"/>
        <n v="11566488.01"/>
        <n v="159061661.13"/>
        <n v="45727003.75"/>
        <n v="142322904.94999999"/>
        <n v="158119268.97"/>
        <n v="218460364.47999999"/>
        <n v="243521049.59999999"/>
        <n v="161345812.06999999"/>
        <n v="146682381.41999999"/>
        <n v="21726839.82"/>
        <n v="6606764.8399999999"/>
        <n v="20607477.25"/>
        <n v="21248461.190000001"/>
        <n v="21198422.670000002"/>
        <n v="23137598.73"/>
        <n v="37694883.950000003"/>
        <n v="32606835.280000001"/>
        <n v="20944747.859999999"/>
        <n v="12645236.439999999"/>
        <n v="13908787.85"/>
        <n v="17527115.780000001"/>
        <n v="14007404.210000001"/>
        <n v="12221413.039999999"/>
        <n v="3642114.56"/>
        <n v="13589051.640000001"/>
        <n v="148283768.91"/>
        <n v="40686426.549999997"/>
        <n v="142120990.30000001"/>
        <n v="139875651.72999999"/>
        <n v="143675420.52000001"/>
        <n v="245641164.55000001"/>
        <n v="201613747.5"/>
        <n v="147655139.25999999"/>
        <n v="70933424.049999997"/>
        <n v="71802122.200000003"/>
        <n v="21303123.32"/>
        <n v="78788944.560000002"/>
        <n v="107805610.98"/>
        <n v="76702354.810000002"/>
        <n v="123112427.58"/>
        <n v="87490395.530000001"/>
        <n v="18071878.52"/>
        <n v="33372108.140000001"/>
        <n v="5830838.6900000004"/>
        <n v="19201328.829999998"/>
        <n v="25860267.600000001"/>
        <n v="20899491.690000001"/>
        <n v="23312066"/>
        <n v="19318461.309999999"/>
        <n v="74694285.189999998"/>
        <n v="64142207.93"/>
        <n v="68151034.319999993"/>
        <n v="54539138.5"/>
        <n v="63592950.990000002"/>
        <n v="100333929.36"/>
        <n v="61863325.789999999"/>
        <n v="18475061.050000001"/>
        <n v="9578564.4700000007"/>
        <n v="11920890.689999999"/>
        <n v="8117974.46"/>
        <n v="11784503.43"/>
        <n v="2607375.7599999998"/>
        <n v="8651008.3399999999"/>
        <n v="8342961.2199999997"/>
        <n v="7562291.7800000003"/>
        <n v="32986023.739999998"/>
        <n v="104363299.83"/>
        <n v="102076346.08"/>
        <n v="115166046.52"/>
        <n v="147457436.18000001"/>
        <n v="171132688.19"/>
        <n v="112554060.16"/>
        <n v="99224507.579999998"/>
        <n v="31233760.170000002"/>
        <n v="18765410.440000001"/>
        <n v="18678806.370000001"/>
        <n v="17822673.48"/>
        <n v="17910883.829999998"/>
        <n v="26728342.879999999"/>
        <n v="5416230.4500000002"/>
        <n v="17714777.100000001"/>
        <n v="8537131.3900000006"/>
        <n v="2705532.52"/>
        <n v="8613569.0299999993"/>
        <n v="9608018.6500000004"/>
        <n v="7949070.5599999996"/>
        <n v="15045012.640000001"/>
        <n v="9978529.0800000001"/>
        <n v="11805941.74"/>
        <n v="140689423.25"/>
        <n v="20717032.48"/>
        <n v="114148508.45999999"/>
        <n v="84673591.010000005"/>
        <n v="79612563.109999999"/>
        <n v="72662423.090000004"/>
        <n v="86446859.469999999"/>
        <n v="75776877.060000002"/>
        <n v="28954766.280000001"/>
        <n v="35166708.640000001"/>
        <n v="32001150.390000001"/>
        <n v="9020719.0800000001"/>
        <n v="34013798.82"/>
        <n v="43661552.43"/>
        <n v="29207232.129999999"/>
        <n v="53377942.359999999"/>
        <n v="181476321.81999999"/>
        <n v="185459609.15000001"/>
        <n v="288430742.51999998"/>
        <n v="194463329.15000001"/>
        <n v="49527008.840000004"/>
        <n v="189826797.90000001"/>
        <n v="322767946.97000003"/>
        <n v="182851188.33000001"/>
        <n v="34852516.18"/>
        <n v="39516061.060000002"/>
        <n v="61506756.789999999"/>
        <n v="6330450.0499999998"/>
        <n v="36832559.030000001"/>
        <n v="33138200.579999998"/>
        <n v="57145353.899999999"/>
        <n v="31316287.02"/>
        <n v="233131940.13"/>
        <n v="142553985.43000001"/>
        <n v="143011872.19999999"/>
        <n v="134751125.63"/>
        <n v="38589298.289999999"/>
        <n v="204859796.41"/>
        <n v="142885799.87"/>
        <n v="136484468.41999999"/>
        <n v="6945117.29"/>
        <n v="8123688.1699999999"/>
        <n v="5831562.5700000003"/>
        <n v="12868101.73"/>
        <n v="9067799.0500000007"/>
        <n v="2419453.08"/>
        <n v="7196042.8799999999"/>
        <n v="9053733.1999999993"/>
        <n v="19361898.370000001"/>
        <n v="22422588.120000001"/>
        <n v="5851228.3799999999"/>
        <n v="18529630.98"/>
        <n v="18170745.170000002"/>
        <n v="31946966.52"/>
        <n v="27726484.77"/>
        <n v="18655395.210000001"/>
        <n v="136267133.03"/>
        <n v="139915440.63999999"/>
        <n v="155605463.88999999"/>
        <n v="211666584.31999999"/>
        <n v="147768996.44999999"/>
        <n v="39206106.93"/>
        <n v="247300403.40000001"/>
        <n v="150486624.21000001"/>
        <n v="160755028.97"/>
        <n v="188623677.87"/>
        <n v="122707945.25"/>
        <n v="116094020.45999999"/>
        <n v="126253490.39"/>
        <n v="32717627.98"/>
        <n v="111840901.13"/>
        <n v="121504771.79000001"/>
        <n v="114012140.40000001"/>
        <n v="115410583.23"/>
        <n v="164550552.00999999"/>
        <n v="104579314.15000001"/>
        <n v="125983344.75"/>
        <n v="31764194.120000001"/>
        <n v="110533877.7"/>
        <n v="184113920.33000001"/>
        <n v="70389231.75"/>
        <n v="127758264.25"/>
        <n v="18875531.120000001"/>
        <n v="74120674.349999994"/>
        <n v="83650011.459999993"/>
        <n v="73739078.299999997"/>
        <n v="70727471.090000004"/>
        <n v="108693053.7"/>
        <n v="4652307.22"/>
        <n v="4199594.3"/>
        <n v="4375746.5599999996"/>
        <n v="1654138.77"/>
        <n v="4632248.0599999996"/>
        <n v="4636902.5199999996"/>
        <n v="6691738.3099999996"/>
        <n v="5801762.7599999998"/>
        <n v="8585837.2400000002"/>
        <n v="9410266.5199999996"/>
        <n v="12198312.77"/>
        <n v="11148160.02"/>
        <n v="13635722.859999999"/>
        <n v="15441679.189999999"/>
        <n v="9006186.8000000007"/>
        <n v="2802962.02"/>
        <n v="123849944.42"/>
        <n v="210647688.34999999"/>
        <n v="135422218.68000001"/>
        <n v="34835644.109999999"/>
        <n v="214926420.55000001"/>
        <n v="126071782.8"/>
        <n v="134742555.08000001"/>
        <n v="130490111.04000001"/>
        <n v="1803727.22"/>
        <n v="6516510.4800000004"/>
        <n v="5569380.1799999997"/>
        <n v="6254697.4000000004"/>
        <n v="5374892.46"/>
        <n v="5952204.5599999996"/>
        <n v="8705654.8300000001"/>
        <n v="7709330.3799999999"/>
        <n v="85504574.280000001"/>
        <n v="147660135.38"/>
        <n v="87527955.209999993"/>
        <n v="22424164.550000001"/>
        <n v="98799675.849999994"/>
        <n v="84404457.829999998"/>
        <n v="81321846.709999993"/>
        <n v="124410383.93000001"/>
        <n v="69899805.109999999"/>
        <n v="67311703.049999997"/>
        <n v="48040025.390000001"/>
        <n v="50798336.740000002"/>
        <n v="44661143.490000002"/>
        <n v="44065436"/>
        <n v="47131967.359999999"/>
        <n v="13439610.699999999"/>
        <n v="158002.41"/>
        <n v="395730"/>
        <n v="413610.58"/>
        <n v="161633.24"/>
        <n v="372584.51"/>
        <n v="471537.97"/>
        <n v="142295.35"/>
        <n v="12363388.74"/>
        <n v="9007709.3699999992"/>
        <n v="8189178.0700000003"/>
        <n v="9061622.6999999993"/>
        <n v="10080268.26"/>
        <n v="2437171.17"/>
        <n v="15192574.390000001"/>
        <n v="8295449.8200000003"/>
        <n v="27216938.48"/>
        <n v="16389350.470000001"/>
        <n v="23199490.649999999"/>
        <n v="16736106.939999999"/>
        <n v="16581196.300000001"/>
        <n v="14478599.789999999"/>
        <n v="15419804.609999999"/>
        <n v="4730757.43"/>
        <n v="147611512.15000001"/>
        <n v="136468173.81999999"/>
        <n v="239881314.81999999"/>
        <n v="222678782.62"/>
        <n v="153487848.53999999"/>
        <n v="43371861.340000004"/>
        <n v="140836258.34"/>
        <n v="151582871.94999999"/>
        <n v="122508310.18000001"/>
        <n v="35534303.310000002"/>
        <n v="123349180.45999999"/>
        <n v="122424523.93000001"/>
        <n v="119648649.86"/>
        <n v="205186915.46000001"/>
        <n v="182509046.88"/>
        <n v="135739204.75999999"/>
        <n v="25650884.559999999"/>
        <n v="36501228.390000001"/>
        <n v="26362110.809999999"/>
        <n v="23339136.550000001"/>
        <n v="27010439.5"/>
        <n v="26493384.77"/>
        <n v="7805609.5700000003"/>
        <n v="40849700.909999996"/>
        <n v="96195881.640000001"/>
        <n v="444141479.48000002"/>
        <n v="320249041.92000002"/>
        <n v="317825805.91000003"/>
        <n v="325056347.50999999"/>
        <n v="519331816.14999998"/>
        <n v="310698656.37"/>
        <n v="294289431.36000001"/>
        <n v="45229950.5"/>
        <n v="48620659.890000001"/>
        <n v="67250271.5"/>
        <n v="50624069.479999997"/>
        <n v="14490757.060000001"/>
        <n v="78791342.780000001"/>
        <n v="49381123.119999997"/>
        <n v="47977087.630000003"/>
        <n v="204243970.38"/>
        <n v="38353707.93"/>
        <n v="138633595.22"/>
        <n v="279851647.26999998"/>
        <n v="135643169.91"/>
        <n v="141174108.49000001"/>
        <n v="145938850.47"/>
        <n v="146332669.71000001"/>
        <n v="203752850.38"/>
        <n v="153671732.97999999"/>
        <n v="42208406.43"/>
        <n v="148088904.69"/>
        <n v="171660901.28999999"/>
        <n v="160788596.44999999"/>
        <n v="147244119.62"/>
        <n v="246406245.91999999"/>
        <n v="11510990.77"/>
        <n v="9048811.6999999993"/>
        <n v="9590675.2300000004"/>
        <n v="7842083.6299999999"/>
        <n v="11805071.289999999"/>
        <n v="9460290.6099999994"/>
        <n v="3315960.58"/>
        <n v="13808056.949999999"/>
        <n v="12077360.15"/>
        <n v="12110413.199999999"/>
        <n v="16527856.02"/>
        <n v="11577505.939999999"/>
        <n v="10800048.539999999"/>
        <n v="11534766.720000001"/>
        <n v="3418191.49"/>
        <n v="19028256.449999999"/>
        <n v="42617149.210000001"/>
        <n v="44069347.479999997"/>
        <n v="67627318.219999999"/>
        <n v="41276117.939999998"/>
        <n v="61414626.369999997"/>
        <n v="39440396.43"/>
        <n v="11867730.390000001"/>
        <n v="40801133.229999997"/>
        <n v="29507404.899999999"/>
        <n v="26955524.550000001"/>
        <n v="35834545.640000001"/>
        <n v="23435094.350000001"/>
        <n v="23966288.379999999"/>
        <n v="7492043.8799999999"/>
        <n v="24145614.920000002"/>
        <n v="23767933.609999999"/>
        <n v="184579548.09"/>
        <n v="161633019.83000001"/>
        <n v="51702376.009999998"/>
        <n v="202574507.38999999"/>
        <n v="300214501.69999999"/>
        <n v="176773472.93000001"/>
        <n v="264697672.02000001"/>
        <n v="176667515.83000001"/>
        <n v="18583200.73"/>
        <n v="30370549.780000001"/>
        <n v="20112170.02"/>
        <n v="19270455.469999999"/>
        <n v="21642054.989999998"/>
        <n v="33187224.609999999"/>
        <n v="19624540.66"/>
        <n v="5820817.8700000001"/>
        <n v="49246389.460000001"/>
        <n v="48480765.979999997"/>
        <n v="80809005.849999994"/>
        <n v="52904291.890000001"/>
        <n v="50107085.240000002"/>
        <n v="15070191.039999999"/>
        <n v="46553861.729999997"/>
        <n v="68509847.849999994"/>
        <n v="64439431.560000002"/>
        <n v="50877687.899999999"/>
        <n v="10109346.050000001"/>
        <n v="57454382.07"/>
        <n v="98802157.859999999"/>
        <n v="63435690.219999999"/>
        <n v="74903789.549999997"/>
        <n v="57567917.25"/>
        <n v="24212467.059999999"/>
        <n v="33972461.380000003"/>
        <n v="6931613.1799999997"/>
        <n v="24071142.52"/>
        <n v="21986204.440000001"/>
        <n v="27122240.780000001"/>
        <n v="39625060.439999998"/>
        <n v="25626223.27"/>
        <n v="26165324.300000001"/>
        <n v="74722417.890000001"/>
        <n v="90394084.640000001"/>
        <n v="121600603.2"/>
        <n v="76069322.650000006"/>
        <n v="111567590.66"/>
        <n v="73805668.260000005"/>
        <n v="71505884.879999995"/>
        <n v="13789445.560000001"/>
        <n v="16931382.27"/>
        <n v="15940193.300000001"/>
        <n v="22102055.879999999"/>
        <n v="18999553.920000002"/>
        <n v="13420304.369999999"/>
        <n v="14591518.99"/>
        <n v="1711165.99"/>
      </sharedItems>
    </cacheField>
    <cacheField name="Valor Restos a Pagar Pagos" numFmtId="0">
      <sharedItems containsSemiMixedTypes="0" containsString="0" containsNumber="1" minValue="-195346995.74000001" maxValue="47982836379.339996"/>
    </cacheField>
    <cacheField name="Meses" numFmtId="0" databaseField="0">
      <fieldGroup base="0">
        <rangePr groupBy="months" startDate="2023-01-01T00:00:00" endDate="2023-08-02T00:00:00"/>
        <groupItems count="14">
          <s v="&lt;01/01/2023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2/08/2023"/>
        </groupItems>
      </fieldGroup>
    </cacheField>
  </cacheFields>
  <extLst>
    <ext xmlns:x14="http://schemas.microsoft.com/office/spreadsheetml/2009/9/main" uri="{725AE2AE-9491-48be-B2B4-4EB974FC3084}">
      <x14:pivotCacheDefinition pivotCacheId="102519924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50">
  <r>
    <x v="0"/>
    <x v="0"/>
    <x v="0"/>
    <n v="158321476.08000001"/>
    <x v="0"/>
    <x v="0"/>
    <n v="840460.29"/>
  </r>
  <r>
    <x v="1"/>
    <x v="0"/>
    <x v="0"/>
    <n v="3710251858.9099998"/>
    <x v="1"/>
    <x v="1"/>
    <n v="260167823.13999999"/>
  </r>
  <r>
    <x v="2"/>
    <x v="0"/>
    <x v="0"/>
    <n v="29334432.77"/>
    <x v="2"/>
    <x v="2"/>
    <n v="4590031.07"/>
  </r>
  <r>
    <x v="3"/>
    <x v="0"/>
    <x v="0"/>
    <n v="9869988.25"/>
    <x v="3"/>
    <x v="3"/>
    <n v="2588806.08"/>
  </r>
  <r>
    <x v="4"/>
    <x v="0"/>
    <x v="0"/>
    <n v="8678594.1400000006"/>
    <x v="4"/>
    <x v="4"/>
    <n v="594381.18000000005"/>
  </r>
  <r>
    <x v="5"/>
    <x v="0"/>
    <x v="0"/>
    <n v="313083005.32999998"/>
    <x v="5"/>
    <x v="5"/>
    <n v="4329834.1500000004"/>
  </r>
  <r>
    <x v="6"/>
    <x v="0"/>
    <x v="0"/>
    <n v="-949408.9"/>
    <x v="6"/>
    <x v="6"/>
    <n v="25025094.219999999"/>
  </r>
  <r>
    <x v="7"/>
    <x v="0"/>
    <x v="0"/>
    <n v="35495318.560000002"/>
    <x v="7"/>
    <x v="7"/>
    <n v="10264924.25"/>
  </r>
  <r>
    <x v="7"/>
    <x v="1"/>
    <x v="1"/>
    <n v="9463461.5800000001"/>
    <x v="8"/>
    <x v="8"/>
    <n v="315894.26"/>
  </r>
  <r>
    <x v="0"/>
    <x v="1"/>
    <x v="1"/>
    <n v="2388358.52"/>
    <x v="9"/>
    <x v="9"/>
    <n v="1222662.71"/>
  </r>
  <r>
    <x v="2"/>
    <x v="1"/>
    <x v="1"/>
    <n v="1886444.56"/>
    <x v="10"/>
    <x v="10"/>
    <n v="401468.81"/>
  </r>
  <r>
    <x v="6"/>
    <x v="1"/>
    <x v="1"/>
    <n v="821317.22"/>
    <x v="11"/>
    <x v="11"/>
    <n v="124480.28"/>
  </r>
  <r>
    <x v="5"/>
    <x v="1"/>
    <x v="1"/>
    <n v="2082774.28"/>
    <x v="12"/>
    <x v="12"/>
    <n v="1888427.29"/>
  </r>
  <r>
    <x v="4"/>
    <x v="1"/>
    <x v="1"/>
    <n v="1543315.39"/>
    <x v="13"/>
    <x v="13"/>
    <n v="747610.95"/>
  </r>
  <r>
    <x v="1"/>
    <x v="1"/>
    <x v="1"/>
    <n v="13128596.67"/>
    <x v="14"/>
    <x v="14"/>
    <n v="2876383.11"/>
  </r>
  <r>
    <x v="3"/>
    <x v="1"/>
    <x v="1"/>
    <n v="317208.33"/>
    <x v="15"/>
    <x v="15"/>
    <n v="2025612.11"/>
  </r>
  <r>
    <x v="7"/>
    <x v="2"/>
    <x v="2"/>
    <n v="-34634594.310000002"/>
    <x v="16"/>
    <x v="16"/>
    <n v="3621053.13"/>
  </r>
  <r>
    <x v="2"/>
    <x v="2"/>
    <x v="2"/>
    <n v="1439990.56"/>
    <x v="17"/>
    <x v="17"/>
    <n v="422944.11"/>
  </r>
  <r>
    <x v="0"/>
    <x v="2"/>
    <x v="2"/>
    <n v="120147619.91"/>
    <x v="18"/>
    <x v="18"/>
    <n v="28422.43"/>
  </r>
  <r>
    <x v="6"/>
    <x v="2"/>
    <x v="2"/>
    <n v="-1488349.98"/>
    <x v="19"/>
    <x v="19"/>
    <n v="51250.3"/>
  </r>
  <r>
    <x v="1"/>
    <x v="2"/>
    <x v="2"/>
    <n v="360083726.37"/>
    <x v="20"/>
    <x v="20"/>
    <n v="29649120.530000001"/>
  </r>
  <r>
    <x v="4"/>
    <x v="2"/>
    <x v="2"/>
    <n v="7808330.9000000004"/>
    <x v="21"/>
    <x v="21"/>
    <n v="3710377.11"/>
  </r>
  <r>
    <x v="5"/>
    <x v="2"/>
    <x v="2"/>
    <n v="55262509.090000004"/>
    <x v="22"/>
    <x v="22"/>
    <n v="231089.41"/>
  </r>
  <r>
    <x v="3"/>
    <x v="2"/>
    <x v="2"/>
    <n v="12378459.66"/>
    <x v="23"/>
    <x v="23"/>
    <n v="390666.78"/>
  </r>
  <r>
    <x v="5"/>
    <x v="3"/>
    <x v="3"/>
    <n v="66808158.560000002"/>
    <x v="24"/>
    <x v="24"/>
    <n v="3039432.41"/>
  </r>
  <r>
    <x v="0"/>
    <x v="3"/>
    <x v="3"/>
    <n v="11012413.34"/>
    <x v="25"/>
    <x v="25"/>
    <n v="118456.79"/>
  </r>
  <r>
    <x v="2"/>
    <x v="3"/>
    <x v="3"/>
    <n v="325970.7"/>
    <x v="26"/>
    <x v="26"/>
    <n v="5352624.72"/>
  </r>
  <r>
    <x v="3"/>
    <x v="3"/>
    <x v="3"/>
    <n v="13594057.99"/>
    <x v="27"/>
    <x v="27"/>
    <n v="2837765.46"/>
  </r>
  <r>
    <x v="4"/>
    <x v="3"/>
    <x v="3"/>
    <n v="11585280.92"/>
    <x v="28"/>
    <x v="28"/>
    <n v="930552.62"/>
  </r>
  <r>
    <x v="7"/>
    <x v="3"/>
    <x v="3"/>
    <n v="1711650819.9400001"/>
    <x v="29"/>
    <x v="29"/>
    <n v="6241452.8099999996"/>
  </r>
  <r>
    <x v="6"/>
    <x v="3"/>
    <x v="3"/>
    <n v="7776636.4100000001"/>
    <x v="30"/>
    <x v="30"/>
    <n v="864951.49"/>
  </r>
  <r>
    <x v="1"/>
    <x v="3"/>
    <x v="3"/>
    <n v="2760324869.77"/>
    <x v="31"/>
    <x v="31"/>
    <n v="190849299.63999999"/>
  </r>
  <r>
    <x v="6"/>
    <x v="3"/>
    <x v="4"/>
    <n v="1195557.06"/>
    <x v="32"/>
    <x v="32"/>
    <n v="0"/>
  </r>
  <r>
    <x v="5"/>
    <x v="3"/>
    <x v="4"/>
    <n v="46705334.259999998"/>
    <x v="33"/>
    <x v="33"/>
    <n v="76196243.040000007"/>
  </r>
  <r>
    <x v="2"/>
    <x v="3"/>
    <x v="4"/>
    <n v="-7070615.5"/>
    <x v="34"/>
    <x v="34"/>
    <n v="123856731.62"/>
  </r>
  <r>
    <x v="1"/>
    <x v="3"/>
    <x v="4"/>
    <n v="8497383360.75"/>
    <x v="35"/>
    <x v="35"/>
    <n v="150992699.78"/>
  </r>
  <r>
    <x v="3"/>
    <x v="3"/>
    <x v="4"/>
    <n v="9721291.0700000003"/>
    <x v="36"/>
    <x v="36"/>
    <n v="88046122.700000003"/>
  </r>
  <r>
    <x v="0"/>
    <x v="3"/>
    <x v="4"/>
    <n v="2914823.99"/>
    <x v="37"/>
    <x v="37"/>
    <n v="93262025.260000005"/>
  </r>
  <r>
    <x v="7"/>
    <x v="3"/>
    <x v="4"/>
    <n v="16540942.039999999"/>
    <x v="38"/>
    <x v="38"/>
    <n v="117593111.52"/>
  </r>
  <r>
    <x v="4"/>
    <x v="3"/>
    <x v="4"/>
    <n v="4530888.4400000004"/>
    <x v="39"/>
    <x v="39"/>
    <n v="67916.31"/>
  </r>
  <r>
    <x v="1"/>
    <x v="4"/>
    <x v="5"/>
    <n v="198680853.43000001"/>
    <x v="40"/>
    <x v="40"/>
    <n v="14650299.4"/>
  </r>
  <r>
    <x v="3"/>
    <x v="4"/>
    <x v="5"/>
    <n v="10712904.33"/>
    <x v="41"/>
    <x v="41"/>
    <n v="23081.22"/>
  </r>
  <r>
    <x v="7"/>
    <x v="4"/>
    <x v="5"/>
    <n v="16521487.609999999"/>
    <x v="42"/>
    <x v="42"/>
    <n v="4276268.7"/>
  </r>
  <r>
    <x v="6"/>
    <x v="4"/>
    <x v="5"/>
    <n v="4912230.5199999996"/>
    <x v="43"/>
    <x v="43"/>
    <n v="152254.87"/>
  </r>
  <r>
    <x v="0"/>
    <x v="4"/>
    <x v="5"/>
    <n v="9882025.7799999993"/>
    <x v="44"/>
    <x v="44"/>
    <n v="1450"/>
  </r>
  <r>
    <x v="4"/>
    <x v="4"/>
    <x v="5"/>
    <n v="8241410.0700000003"/>
    <x v="45"/>
    <x v="45"/>
    <n v="844164.03"/>
  </r>
  <r>
    <x v="5"/>
    <x v="4"/>
    <x v="5"/>
    <n v="4704113.8600000003"/>
    <x v="46"/>
    <x v="46"/>
    <n v="15183.56"/>
  </r>
  <r>
    <x v="2"/>
    <x v="4"/>
    <x v="5"/>
    <n v="734725.22"/>
    <x v="47"/>
    <x v="47"/>
    <n v="673352.58"/>
  </r>
  <r>
    <x v="1"/>
    <x v="2"/>
    <x v="6"/>
    <n v="36805030"/>
    <x v="48"/>
    <x v="48"/>
    <n v="10303447.17"/>
  </r>
  <r>
    <x v="7"/>
    <x v="2"/>
    <x v="6"/>
    <n v="81829012.599999994"/>
    <x v="49"/>
    <x v="49"/>
    <n v="1128179.96"/>
  </r>
  <r>
    <x v="0"/>
    <x v="2"/>
    <x v="6"/>
    <n v="759876.57"/>
    <x v="50"/>
    <x v="50"/>
    <n v="301105.09999999998"/>
  </r>
  <r>
    <x v="2"/>
    <x v="2"/>
    <x v="6"/>
    <n v="1949993.29"/>
    <x v="51"/>
    <x v="51"/>
    <n v="1618280.21"/>
  </r>
  <r>
    <x v="5"/>
    <x v="2"/>
    <x v="6"/>
    <n v="13263884.439999999"/>
    <x v="52"/>
    <x v="52"/>
    <n v="457393.91999999998"/>
  </r>
  <r>
    <x v="6"/>
    <x v="2"/>
    <x v="6"/>
    <n v="2213581.84"/>
    <x v="53"/>
    <x v="53"/>
    <n v="385827.47"/>
  </r>
  <r>
    <x v="3"/>
    <x v="2"/>
    <x v="6"/>
    <n v="15597977.07"/>
    <x v="54"/>
    <x v="54"/>
    <n v="29523.46"/>
  </r>
  <r>
    <x v="4"/>
    <x v="2"/>
    <x v="6"/>
    <n v="3113446.83"/>
    <x v="55"/>
    <x v="55"/>
    <n v="572999.14"/>
  </r>
  <r>
    <x v="0"/>
    <x v="5"/>
    <x v="7"/>
    <n v="7414654.9400000004"/>
    <x v="56"/>
    <x v="56"/>
    <n v="943717.05"/>
  </r>
  <r>
    <x v="6"/>
    <x v="5"/>
    <x v="7"/>
    <n v="6968667.5"/>
    <x v="57"/>
    <x v="57"/>
    <n v="419477.76000000001"/>
  </r>
  <r>
    <x v="4"/>
    <x v="5"/>
    <x v="7"/>
    <n v="21562644"/>
    <x v="58"/>
    <x v="58"/>
    <n v="15468881.810000001"/>
  </r>
  <r>
    <x v="5"/>
    <x v="5"/>
    <x v="7"/>
    <n v="158468512.58000001"/>
    <x v="59"/>
    <x v="59"/>
    <n v="7278842.7699999996"/>
  </r>
  <r>
    <x v="1"/>
    <x v="5"/>
    <x v="7"/>
    <n v="285063138.89999998"/>
    <x v="60"/>
    <x v="60"/>
    <n v="34254330.740000002"/>
  </r>
  <r>
    <x v="7"/>
    <x v="5"/>
    <x v="7"/>
    <n v="29994565.329999998"/>
    <x v="61"/>
    <x v="61"/>
    <n v="12124285.42"/>
  </r>
  <r>
    <x v="2"/>
    <x v="5"/>
    <x v="7"/>
    <n v="4329385.99"/>
    <x v="62"/>
    <x v="62"/>
    <n v="8369076.5800000001"/>
  </r>
  <r>
    <x v="3"/>
    <x v="5"/>
    <x v="7"/>
    <n v="61210031.829999998"/>
    <x v="63"/>
    <x v="63"/>
    <n v="6423053.4900000002"/>
  </r>
  <r>
    <x v="6"/>
    <x v="4"/>
    <x v="8"/>
    <n v="21286700.260000002"/>
    <x v="64"/>
    <x v="64"/>
    <n v="50769.27"/>
  </r>
  <r>
    <x v="0"/>
    <x v="4"/>
    <x v="8"/>
    <n v="69465291.659999996"/>
    <x v="65"/>
    <x v="65"/>
    <n v="253202.55"/>
  </r>
  <r>
    <x v="4"/>
    <x v="4"/>
    <x v="8"/>
    <n v="60538913.450000003"/>
    <x v="66"/>
    <x v="66"/>
    <n v="712010.76"/>
  </r>
  <r>
    <x v="7"/>
    <x v="4"/>
    <x v="8"/>
    <n v="26973953.469999999"/>
    <x v="67"/>
    <x v="67"/>
    <n v="2507993.7000000002"/>
  </r>
  <r>
    <x v="5"/>
    <x v="4"/>
    <x v="8"/>
    <n v="40118693.479999997"/>
    <x v="68"/>
    <x v="68"/>
    <n v="1330810.98"/>
  </r>
  <r>
    <x v="1"/>
    <x v="4"/>
    <x v="8"/>
    <n v="139928603.02000001"/>
    <x v="69"/>
    <x v="69"/>
    <n v="50525996.060000002"/>
  </r>
  <r>
    <x v="3"/>
    <x v="4"/>
    <x v="8"/>
    <n v="117510445.84999999"/>
    <x v="70"/>
    <x v="70"/>
    <n v="91185.24"/>
  </r>
  <r>
    <x v="2"/>
    <x v="4"/>
    <x v="8"/>
    <n v="59147370.299999997"/>
    <x v="71"/>
    <x v="71"/>
    <n v="3858083.11"/>
  </r>
  <r>
    <x v="7"/>
    <x v="6"/>
    <x v="9"/>
    <n v="3687224.25"/>
    <x v="72"/>
    <x v="72"/>
    <n v="7274170.5300000003"/>
  </r>
  <r>
    <x v="5"/>
    <x v="6"/>
    <x v="9"/>
    <n v="30896423.640000001"/>
    <x v="73"/>
    <x v="73"/>
    <n v="5728240.9800000004"/>
  </r>
  <r>
    <x v="4"/>
    <x v="6"/>
    <x v="9"/>
    <n v="6118576.7199999997"/>
    <x v="74"/>
    <x v="74"/>
    <n v="804463.25"/>
  </r>
  <r>
    <x v="0"/>
    <x v="6"/>
    <x v="9"/>
    <n v="24753268.649999999"/>
    <x v="75"/>
    <x v="75"/>
    <n v="101561.64"/>
  </r>
  <r>
    <x v="2"/>
    <x v="6"/>
    <x v="9"/>
    <n v="-65222.07"/>
    <x v="76"/>
    <x v="76"/>
    <n v="4735056.78"/>
  </r>
  <r>
    <x v="1"/>
    <x v="6"/>
    <x v="9"/>
    <n v="141524094.88999999"/>
    <x v="77"/>
    <x v="77"/>
    <n v="19608559.050000001"/>
  </r>
  <r>
    <x v="3"/>
    <x v="6"/>
    <x v="9"/>
    <n v="171648707.59999999"/>
    <x v="78"/>
    <x v="78"/>
    <n v="5778908.2300000004"/>
  </r>
  <r>
    <x v="6"/>
    <x v="6"/>
    <x v="9"/>
    <n v="9578300.8300000001"/>
    <x v="79"/>
    <x v="79"/>
    <n v="404664.55"/>
  </r>
  <r>
    <x v="1"/>
    <x v="7"/>
    <x v="10"/>
    <n v="11540896.07"/>
    <x v="80"/>
    <x v="80"/>
    <n v="10976096.27"/>
  </r>
  <r>
    <x v="5"/>
    <x v="7"/>
    <x v="10"/>
    <n v="10182685.42"/>
    <x v="81"/>
    <x v="81"/>
    <n v="380951903.68000001"/>
  </r>
  <r>
    <x v="7"/>
    <x v="7"/>
    <x v="10"/>
    <n v="101303239.92"/>
    <x v="82"/>
    <x v="82"/>
    <n v="695432.8"/>
  </r>
  <r>
    <x v="3"/>
    <x v="7"/>
    <x v="10"/>
    <n v="2193191.52"/>
    <x v="83"/>
    <x v="83"/>
    <n v="202064866.18000001"/>
  </r>
  <r>
    <x v="4"/>
    <x v="7"/>
    <x v="10"/>
    <n v="205247619.38999999"/>
    <x v="84"/>
    <x v="84"/>
    <n v="163560.57999999999"/>
  </r>
  <r>
    <x v="0"/>
    <x v="7"/>
    <x v="10"/>
    <n v="1063310132.62"/>
    <x v="85"/>
    <x v="85"/>
    <n v="12293649.609999999"/>
  </r>
  <r>
    <x v="6"/>
    <x v="7"/>
    <x v="10"/>
    <n v="4425792.62"/>
    <x v="86"/>
    <x v="86"/>
    <n v="135455.24"/>
  </r>
  <r>
    <x v="2"/>
    <x v="7"/>
    <x v="10"/>
    <n v="-2390417.42"/>
    <x v="87"/>
    <x v="87"/>
    <n v="200252904.47"/>
  </r>
  <r>
    <x v="3"/>
    <x v="3"/>
    <x v="11"/>
    <n v="7339747450.8999996"/>
    <x v="88"/>
    <x v="88"/>
    <n v="2645478.33"/>
  </r>
  <r>
    <x v="0"/>
    <x v="3"/>
    <x v="11"/>
    <n v="1842671637.1400001"/>
    <x v="89"/>
    <x v="89"/>
    <n v="680125.26"/>
  </r>
  <r>
    <x v="2"/>
    <x v="3"/>
    <x v="11"/>
    <n v="3167048021.1500001"/>
    <x v="90"/>
    <x v="90"/>
    <n v="13199008.76"/>
  </r>
  <r>
    <x v="7"/>
    <x v="3"/>
    <x v="11"/>
    <n v="5315648898.0699997"/>
    <x v="91"/>
    <x v="91"/>
    <n v="2977234059.8099999"/>
  </r>
  <r>
    <x v="4"/>
    <x v="3"/>
    <x v="11"/>
    <n v="2963253315.2800002"/>
    <x v="92"/>
    <x v="92"/>
    <n v="308577.62"/>
  </r>
  <r>
    <x v="5"/>
    <x v="3"/>
    <x v="11"/>
    <n v="3019076717.5500002"/>
    <x v="93"/>
    <x v="93"/>
    <n v="5625026.6600000001"/>
  </r>
  <r>
    <x v="1"/>
    <x v="3"/>
    <x v="11"/>
    <n v="295194178.88"/>
    <x v="94"/>
    <x v="94"/>
    <n v="3253979753.1500001"/>
  </r>
  <r>
    <x v="6"/>
    <x v="3"/>
    <x v="11"/>
    <n v="6702339811.6300001"/>
    <x v="95"/>
    <x v="95"/>
    <n v="1180675.44"/>
  </r>
  <r>
    <x v="1"/>
    <x v="8"/>
    <x v="12"/>
    <n v="108217584.09999999"/>
    <x v="96"/>
    <x v="96"/>
    <n v="33689584.810000002"/>
  </r>
  <r>
    <x v="4"/>
    <x v="8"/>
    <x v="12"/>
    <n v="13996446.539999999"/>
    <x v="97"/>
    <x v="97"/>
    <n v="3397495.35"/>
  </r>
  <r>
    <x v="5"/>
    <x v="8"/>
    <x v="12"/>
    <n v="320390985.12"/>
    <x v="98"/>
    <x v="98"/>
    <n v="1361504.06"/>
  </r>
  <r>
    <x v="3"/>
    <x v="8"/>
    <x v="12"/>
    <n v="11738093"/>
    <x v="99"/>
    <x v="99"/>
    <n v="2494292.9300000002"/>
  </r>
  <r>
    <x v="2"/>
    <x v="8"/>
    <x v="12"/>
    <n v="12712436.25"/>
    <x v="100"/>
    <x v="100"/>
    <n v="11728662.26"/>
  </r>
  <r>
    <x v="7"/>
    <x v="8"/>
    <x v="12"/>
    <n v="16590561.140000001"/>
    <x v="101"/>
    <x v="101"/>
    <n v="5404616.1100000003"/>
  </r>
  <r>
    <x v="0"/>
    <x v="8"/>
    <x v="12"/>
    <n v="8849570.6199999992"/>
    <x v="102"/>
    <x v="102"/>
    <n v="985088.16"/>
  </r>
  <r>
    <x v="6"/>
    <x v="8"/>
    <x v="12"/>
    <n v="5826781.2199999997"/>
    <x v="103"/>
    <x v="103"/>
    <n v="301198.23"/>
  </r>
  <r>
    <x v="3"/>
    <x v="9"/>
    <x v="13"/>
    <n v="40857519.340000004"/>
    <x v="104"/>
    <x v="104"/>
    <n v="6030780.1799999997"/>
  </r>
  <r>
    <x v="6"/>
    <x v="9"/>
    <x v="13"/>
    <n v="1322676.5"/>
    <x v="105"/>
    <x v="105"/>
    <n v="2448991.46"/>
  </r>
  <r>
    <x v="5"/>
    <x v="9"/>
    <x v="13"/>
    <n v="883856.76"/>
    <x v="106"/>
    <x v="106"/>
    <n v="4244478.46"/>
  </r>
  <r>
    <x v="0"/>
    <x v="9"/>
    <x v="13"/>
    <n v="3591300.73"/>
    <x v="107"/>
    <x v="107"/>
    <n v="2737511.1"/>
  </r>
  <r>
    <x v="7"/>
    <x v="9"/>
    <x v="13"/>
    <n v="37600709.75"/>
    <x v="108"/>
    <x v="108"/>
    <n v="3183770.1"/>
  </r>
  <r>
    <x v="1"/>
    <x v="9"/>
    <x v="13"/>
    <n v="324520691.99000001"/>
    <x v="109"/>
    <x v="109"/>
    <n v="29276297.09"/>
  </r>
  <r>
    <x v="2"/>
    <x v="9"/>
    <x v="13"/>
    <n v="5119107.9800000004"/>
    <x v="110"/>
    <x v="110"/>
    <n v="4121420.32"/>
  </r>
  <r>
    <x v="4"/>
    <x v="9"/>
    <x v="13"/>
    <n v="75015999.680000007"/>
    <x v="111"/>
    <x v="111"/>
    <n v="8303383.6500000004"/>
  </r>
  <r>
    <x v="4"/>
    <x v="10"/>
    <x v="14"/>
    <n v="273163.83"/>
    <x v="112"/>
    <x v="112"/>
    <n v="0"/>
  </r>
  <r>
    <x v="5"/>
    <x v="10"/>
    <x v="14"/>
    <n v="344008.78"/>
    <x v="113"/>
    <x v="113"/>
    <n v="228262.02"/>
  </r>
  <r>
    <x v="0"/>
    <x v="10"/>
    <x v="14"/>
    <n v="94200"/>
    <x v="114"/>
    <x v="114"/>
    <n v="0"/>
  </r>
  <r>
    <x v="3"/>
    <x v="10"/>
    <x v="14"/>
    <n v="1961944.49"/>
    <x v="115"/>
    <x v="115"/>
    <n v="419980"/>
  </r>
  <r>
    <x v="6"/>
    <x v="10"/>
    <x v="14"/>
    <n v="468213.17"/>
    <x v="116"/>
    <x v="116"/>
    <n v="0"/>
  </r>
  <r>
    <x v="1"/>
    <x v="11"/>
    <x v="15"/>
    <n v="342941229.31999999"/>
    <x v="117"/>
    <x v="117"/>
    <n v="273877643.44999999"/>
  </r>
  <r>
    <x v="3"/>
    <x v="11"/>
    <x v="15"/>
    <n v="407835100.47000003"/>
    <x v="118"/>
    <x v="118"/>
    <n v="5850313.1200000001"/>
  </r>
  <r>
    <x v="7"/>
    <x v="11"/>
    <x v="15"/>
    <n v="342396833.14999998"/>
    <x v="119"/>
    <x v="119"/>
    <n v="6414141.8300000001"/>
  </r>
  <r>
    <x v="2"/>
    <x v="11"/>
    <x v="15"/>
    <n v="284940592.80000001"/>
    <x v="120"/>
    <x v="120"/>
    <n v="7105018.3200000003"/>
  </r>
  <r>
    <x v="6"/>
    <x v="11"/>
    <x v="15"/>
    <n v="306855687.54000002"/>
    <x v="121"/>
    <x v="121"/>
    <n v="4411235.16"/>
  </r>
  <r>
    <x v="5"/>
    <x v="11"/>
    <x v="15"/>
    <n v="400252199.49000001"/>
    <x v="122"/>
    <x v="122"/>
    <n v="2557818.11"/>
  </r>
  <r>
    <x v="4"/>
    <x v="11"/>
    <x v="15"/>
    <n v="299399791.56"/>
    <x v="123"/>
    <x v="123"/>
    <n v="1117397.1499999999"/>
  </r>
  <r>
    <x v="0"/>
    <x v="11"/>
    <x v="15"/>
    <n v="337946491.57999998"/>
    <x v="124"/>
    <x v="124"/>
    <n v="881202.92"/>
  </r>
  <r>
    <x v="6"/>
    <x v="9"/>
    <x v="16"/>
    <n v="1250272.45"/>
    <x v="125"/>
    <x v="125"/>
    <n v="10084335.289999999"/>
  </r>
  <r>
    <x v="2"/>
    <x v="9"/>
    <x v="16"/>
    <n v="-2556481.25"/>
    <x v="126"/>
    <x v="126"/>
    <n v="13693093.869999999"/>
  </r>
  <r>
    <x v="0"/>
    <x v="9"/>
    <x v="16"/>
    <n v="-772474.58"/>
    <x v="127"/>
    <x v="127"/>
    <n v="9361660.1199999992"/>
  </r>
  <r>
    <x v="1"/>
    <x v="9"/>
    <x v="16"/>
    <n v="228475363.69999999"/>
    <x v="128"/>
    <x v="128"/>
    <n v="17957761.940000001"/>
  </r>
  <r>
    <x v="3"/>
    <x v="9"/>
    <x v="16"/>
    <n v="112318.73"/>
    <x v="129"/>
    <x v="129"/>
    <n v="13323391.77"/>
  </r>
  <r>
    <x v="4"/>
    <x v="9"/>
    <x v="16"/>
    <n v="115181.54"/>
    <x v="130"/>
    <x v="130"/>
    <n v="8386634.9800000004"/>
  </r>
  <r>
    <x v="7"/>
    <x v="9"/>
    <x v="16"/>
    <n v="21839346.039999999"/>
    <x v="131"/>
    <x v="131"/>
    <n v="10889166.970000001"/>
  </r>
  <r>
    <x v="5"/>
    <x v="9"/>
    <x v="16"/>
    <n v="3973961.8"/>
    <x v="132"/>
    <x v="132"/>
    <n v="12862194.83"/>
  </r>
  <r>
    <x v="5"/>
    <x v="9"/>
    <x v="17"/>
    <n v="540742.99"/>
    <x v="133"/>
    <x v="133"/>
    <n v="35533.07"/>
  </r>
  <r>
    <x v="7"/>
    <x v="9"/>
    <x v="17"/>
    <n v="0"/>
    <x v="134"/>
    <x v="134"/>
    <n v="91751.72"/>
  </r>
  <r>
    <x v="1"/>
    <x v="9"/>
    <x v="17"/>
    <n v="1670209"/>
    <x v="135"/>
    <x v="135"/>
    <n v="317805.36"/>
  </r>
  <r>
    <x v="6"/>
    <x v="9"/>
    <x v="17"/>
    <n v="129456.6"/>
    <x v="136"/>
    <x v="136"/>
    <n v="0"/>
  </r>
  <r>
    <x v="0"/>
    <x v="9"/>
    <x v="17"/>
    <n v="294132"/>
    <x v="137"/>
    <x v="137"/>
    <n v="0"/>
  </r>
  <r>
    <x v="2"/>
    <x v="9"/>
    <x v="17"/>
    <n v="576000"/>
    <x v="138"/>
    <x v="138"/>
    <n v="126688.52"/>
  </r>
  <r>
    <x v="3"/>
    <x v="9"/>
    <x v="17"/>
    <n v="469916.87"/>
    <x v="139"/>
    <x v="139"/>
    <n v="5636.17"/>
  </r>
  <r>
    <x v="4"/>
    <x v="9"/>
    <x v="17"/>
    <n v="435506.96"/>
    <x v="140"/>
    <x v="140"/>
    <n v="36379.589999999997"/>
  </r>
  <r>
    <x v="4"/>
    <x v="12"/>
    <x v="18"/>
    <n v="6646622.9699999997"/>
    <x v="141"/>
    <x v="141"/>
    <n v="360050.46"/>
  </r>
  <r>
    <x v="3"/>
    <x v="12"/>
    <x v="18"/>
    <n v="14040226.41"/>
    <x v="142"/>
    <x v="142"/>
    <n v="1663988.54"/>
  </r>
  <r>
    <x v="5"/>
    <x v="12"/>
    <x v="18"/>
    <n v="1363136.2"/>
    <x v="143"/>
    <x v="143"/>
    <n v="1388259.64"/>
  </r>
  <r>
    <x v="1"/>
    <x v="12"/>
    <x v="18"/>
    <n v="369692744.79000002"/>
    <x v="144"/>
    <x v="144"/>
    <n v="32695775.359999999"/>
  </r>
  <r>
    <x v="2"/>
    <x v="12"/>
    <x v="18"/>
    <n v="4223557.8600000003"/>
    <x v="145"/>
    <x v="145"/>
    <n v="1799683.79"/>
  </r>
  <r>
    <x v="7"/>
    <x v="12"/>
    <x v="18"/>
    <n v="5632033.1500000004"/>
    <x v="146"/>
    <x v="146"/>
    <n v="1102232.8"/>
  </r>
  <r>
    <x v="0"/>
    <x v="12"/>
    <x v="18"/>
    <n v="5864045.71"/>
    <x v="147"/>
    <x v="147"/>
    <n v="383031.49"/>
  </r>
  <r>
    <x v="6"/>
    <x v="12"/>
    <x v="18"/>
    <n v="3124745.38"/>
    <x v="148"/>
    <x v="148"/>
    <n v="1487157.17"/>
  </r>
  <r>
    <x v="2"/>
    <x v="12"/>
    <x v="19"/>
    <n v="2878353.38"/>
    <x v="149"/>
    <x v="149"/>
    <n v="2584983.69"/>
  </r>
  <r>
    <x v="7"/>
    <x v="12"/>
    <x v="19"/>
    <n v="-9695908.1999999993"/>
    <x v="150"/>
    <x v="150"/>
    <n v="849714.61"/>
  </r>
  <r>
    <x v="0"/>
    <x v="12"/>
    <x v="19"/>
    <n v="1155033.07"/>
    <x v="151"/>
    <x v="151"/>
    <n v="676101.4"/>
  </r>
  <r>
    <x v="3"/>
    <x v="12"/>
    <x v="19"/>
    <n v="9241327.6899999995"/>
    <x v="152"/>
    <x v="152"/>
    <n v="796633.93"/>
  </r>
  <r>
    <x v="6"/>
    <x v="12"/>
    <x v="19"/>
    <n v="1339208.17"/>
    <x v="153"/>
    <x v="153"/>
    <n v="719419.68"/>
  </r>
  <r>
    <x v="1"/>
    <x v="12"/>
    <x v="19"/>
    <n v="446571570.55000001"/>
    <x v="154"/>
    <x v="154"/>
    <n v="38560070.32"/>
  </r>
  <r>
    <x v="5"/>
    <x v="12"/>
    <x v="19"/>
    <n v="18468318.140000001"/>
    <x v="155"/>
    <x v="155"/>
    <n v="2522928.02"/>
  </r>
  <r>
    <x v="4"/>
    <x v="12"/>
    <x v="19"/>
    <n v="10831699.5"/>
    <x v="156"/>
    <x v="156"/>
    <n v="622378.22"/>
  </r>
  <r>
    <x v="1"/>
    <x v="1"/>
    <x v="20"/>
    <n v="30789198.559999999"/>
    <x v="157"/>
    <x v="157"/>
    <n v="2997228.95"/>
  </r>
  <r>
    <x v="7"/>
    <x v="1"/>
    <x v="20"/>
    <n v="1161227.6299999999"/>
    <x v="158"/>
    <x v="158"/>
    <n v="892941.55"/>
  </r>
  <r>
    <x v="2"/>
    <x v="1"/>
    <x v="20"/>
    <n v="-142665.95000000001"/>
    <x v="159"/>
    <x v="159"/>
    <n v="131983.88"/>
  </r>
  <r>
    <x v="5"/>
    <x v="1"/>
    <x v="20"/>
    <n v="-192649.23"/>
    <x v="160"/>
    <x v="160"/>
    <n v="362639.35"/>
  </r>
  <r>
    <x v="6"/>
    <x v="1"/>
    <x v="20"/>
    <n v="583352.85"/>
    <x v="161"/>
    <x v="161"/>
    <n v="0"/>
  </r>
  <r>
    <x v="3"/>
    <x v="1"/>
    <x v="20"/>
    <n v="7899737.4400000004"/>
    <x v="162"/>
    <x v="162"/>
    <n v="123501.21"/>
  </r>
  <r>
    <x v="4"/>
    <x v="1"/>
    <x v="20"/>
    <n v="1148331.8500000001"/>
    <x v="163"/>
    <x v="163"/>
    <n v="1117.72"/>
  </r>
  <r>
    <x v="0"/>
    <x v="1"/>
    <x v="20"/>
    <n v="4923292.8899999997"/>
    <x v="164"/>
    <x v="164"/>
    <n v="59201.13"/>
  </r>
  <r>
    <x v="1"/>
    <x v="12"/>
    <x v="21"/>
    <n v="474379776"/>
    <x v="165"/>
    <x v="165"/>
    <n v="54858169.43"/>
  </r>
  <r>
    <x v="7"/>
    <x v="12"/>
    <x v="21"/>
    <n v="8841311.5800000001"/>
    <x v="166"/>
    <x v="166"/>
    <n v="2661536.0299999998"/>
  </r>
  <r>
    <x v="0"/>
    <x v="12"/>
    <x v="21"/>
    <n v="10843845.6"/>
    <x v="167"/>
    <x v="167"/>
    <n v="1282166.27"/>
  </r>
  <r>
    <x v="5"/>
    <x v="12"/>
    <x v="21"/>
    <n v="10212446.85"/>
    <x v="168"/>
    <x v="168"/>
    <n v="1982316.42"/>
  </r>
  <r>
    <x v="4"/>
    <x v="12"/>
    <x v="21"/>
    <n v="94726043.810000002"/>
    <x v="169"/>
    <x v="169"/>
    <n v="1911321.8"/>
  </r>
  <r>
    <x v="2"/>
    <x v="12"/>
    <x v="21"/>
    <n v="-2043865.78"/>
    <x v="170"/>
    <x v="170"/>
    <n v="4201019.5599999996"/>
  </r>
  <r>
    <x v="6"/>
    <x v="12"/>
    <x v="21"/>
    <n v="3482778.53"/>
    <x v="171"/>
    <x v="171"/>
    <n v="1183144.58"/>
  </r>
  <r>
    <x v="3"/>
    <x v="12"/>
    <x v="21"/>
    <n v="50994825.380000003"/>
    <x v="172"/>
    <x v="172"/>
    <n v="1233641.72"/>
  </r>
  <r>
    <x v="4"/>
    <x v="9"/>
    <x v="22"/>
    <n v="2536012570.96"/>
    <x v="173"/>
    <x v="173"/>
    <n v="332263609.04000002"/>
  </r>
  <r>
    <x v="7"/>
    <x v="9"/>
    <x v="22"/>
    <n v="2523450785.25"/>
    <x v="174"/>
    <x v="174"/>
    <n v="217645191.63"/>
  </r>
  <r>
    <x v="6"/>
    <x v="9"/>
    <x v="22"/>
    <n v="1932839952.8499999"/>
    <x v="175"/>
    <x v="175"/>
    <n v="103575417.06"/>
  </r>
  <r>
    <x v="2"/>
    <x v="9"/>
    <x v="22"/>
    <n v="1726128043.5699999"/>
    <x v="176"/>
    <x v="176"/>
    <n v="267594503.44"/>
  </r>
  <r>
    <x v="1"/>
    <x v="9"/>
    <x v="22"/>
    <n v="1885665614.45"/>
    <x v="177"/>
    <x v="177"/>
    <n v="1486391246.5999999"/>
  </r>
  <r>
    <x v="3"/>
    <x v="9"/>
    <x v="22"/>
    <n v="2857682882.0500002"/>
    <x v="178"/>
    <x v="178"/>
    <n v="318974315.93000001"/>
  </r>
  <r>
    <x v="0"/>
    <x v="9"/>
    <x v="22"/>
    <n v="2520197795.6999998"/>
    <x v="179"/>
    <x v="179"/>
    <n v="66423222.030000001"/>
  </r>
  <r>
    <x v="5"/>
    <x v="9"/>
    <x v="22"/>
    <n v="4045497088.3800001"/>
    <x v="180"/>
    <x v="180"/>
    <n v="193912592.65000001"/>
  </r>
  <r>
    <x v="1"/>
    <x v="9"/>
    <x v="23"/>
    <n v="26107138307.310001"/>
    <x v="181"/>
    <x v="181"/>
    <n v="1783606614.4200001"/>
  </r>
  <r>
    <x v="6"/>
    <x v="9"/>
    <x v="23"/>
    <n v="21926168.289999999"/>
    <x v="182"/>
    <x v="182"/>
    <n v="43752960.420000002"/>
  </r>
  <r>
    <x v="4"/>
    <x v="9"/>
    <x v="23"/>
    <n v="1211363148.9400001"/>
    <x v="183"/>
    <x v="183"/>
    <n v="105832737.54000001"/>
  </r>
  <r>
    <x v="0"/>
    <x v="9"/>
    <x v="23"/>
    <n v="214026799.46000001"/>
    <x v="184"/>
    <x v="184"/>
    <n v="35244544.57"/>
  </r>
  <r>
    <x v="3"/>
    <x v="9"/>
    <x v="23"/>
    <n v="496658990.68000001"/>
    <x v="185"/>
    <x v="185"/>
    <n v="123505186.73999999"/>
  </r>
  <r>
    <x v="7"/>
    <x v="9"/>
    <x v="23"/>
    <n v="338171154.45999998"/>
    <x v="186"/>
    <x v="186"/>
    <n v="221408415.03999999"/>
  </r>
  <r>
    <x v="5"/>
    <x v="9"/>
    <x v="23"/>
    <n v="1513662234.46"/>
    <x v="187"/>
    <x v="187"/>
    <n v="98152625.879999995"/>
  </r>
  <r>
    <x v="2"/>
    <x v="9"/>
    <x v="23"/>
    <n v="316578814.63"/>
    <x v="188"/>
    <x v="188"/>
    <n v="184298960.74000001"/>
  </r>
  <r>
    <x v="2"/>
    <x v="9"/>
    <x v="24"/>
    <n v="429152515.54000002"/>
    <x v="189"/>
    <x v="189"/>
    <n v="273343705.16000003"/>
  </r>
  <r>
    <x v="6"/>
    <x v="9"/>
    <x v="24"/>
    <n v="480689980.48000002"/>
    <x v="190"/>
    <x v="190"/>
    <n v="128099874.67"/>
  </r>
  <r>
    <x v="3"/>
    <x v="9"/>
    <x v="24"/>
    <n v="719579381.41999996"/>
    <x v="191"/>
    <x v="191"/>
    <n v="237199429.44999999"/>
  </r>
  <r>
    <x v="1"/>
    <x v="9"/>
    <x v="24"/>
    <n v="48142415878.349998"/>
    <x v="192"/>
    <x v="192"/>
    <n v="3016262062.71"/>
  </r>
  <r>
    <x v="0"/>
    <x v="9"/>
    <x v="24"/>
    <n v="431812299.79000002"/>
    <x v="193"/>
    <x v="193"/>
    <n v="293783130.26999998"/>
  </r>
  <r>
    <x v="7"/>
    <x v="9"/>
    <x v="24"/>
    <n v="266997644.05000001"/>
    <x v="194"/>
    <x v="194"/>
    <n v="250824205.12"/>
  </r>
  <r>
    <x v="5"/>
    <x v="9"/>
    <x v="24"/>
    <n v="446125175.10000002"/>
    <x v="195"/>
    <x v="195"/>
    <n v="262598245.09999999"/>
  </r>
  <r>
    <x v="4"/>
    <x v="9"/>
    <x v="24"/>
    <n v="616162563"/>
    <x v="196"/>
    <x v="196"/>
    <n v="227274414.13"/>
  </r>
  <r>
    <x v="4"/>
    <x v="13"/>
    <x v="25"/>
    <n v="1087288.44"/>
    <x v="197"/>
    <x v="197"/>
    <n v="134640.94"/>
  </r>
  <r>
    <x v="6"/>
    <x v="13"/>
    <x v="25"/>
    <n v="1817462.64"/>
    <x v="198"/>
    <x v="198"/>
    <n v="132491.44"/>
  </r>
  <r>
    <x v="1"/>
    <x v="13"/>
    <x v="25"/>
    <n v="186934805.28999999"/>
    <x v="199"/>
    <x v="199"/>
    <n v="14532575.66"/>
  </r>
  <r>
    <x v="7"/>
    <x v="13"/>
    <x v="25"/>
    <n v="7216918.7800000003"/>
    <x v="200"/>
    <x v="200"/>
    <n v="2974339.88"/>
  </r>
  <r>
    <x v="5"/>
    <x v="13"/>
    <x v="25"/>
    <n v="9624709.2699999996"/>
    <x v="201"/>
    <x v="201"/>
    <n v="614302.26"/>
  </r>
  <r>
    <x v="3"/>
    <x v="13"/>
    <x v="25"/>
    <n v="7568882.5700000003"/>
    <x v="202"/>
    <x v="202"/>
    <n v="126667.66"/>
  </r>
  <r>
    <x v="2"/>
    <x v="13"/>
    <x v="25"/>
    <n v="-4530246.0999999996"/>
    <x v="203"/>
    <x v="203"/>
    <n v="2669093.12"/>
  </r>
  <r>
    <x v="0"/>
    <x v="13"/>
    <x v="25"/>
    <n v="884016.26"/>
    <x v="204"/>
    <x v="204"/>
    <n v="645403.09"/>
  </r>
  <r>
    <x v="7"/>
    <x v="1"/>
    <x v="26"/>
    <n v="32036249.010000002"/>
    <x v="205"/>
    <x v="205"/>
    <n v="17278436.280000001"/>
  </r>
  <r>
    <x v="5"/>
    <x v="1"/>
    <x v="26"/>
    <n v="11509108.630000001"/>
    <x v="206"/>
    <x v="206"/>
    <n v="19386440.629999999"/>
  </r>
  <r>
    <x v="3"/>
    <x v="1"/>
    <x v="26"/>
    <n v="154056425.49000001"/>
    <x v="207"/>
    <x v="207"/>
    <n v="11285026.560000001"/>
  </r>
  <r>
    <x v="6"/>
    <x v="1"/>
    <x v="26"/>
    <n v="8715913.1899999995"/>
    <x v="208"/>
    <x v="208"/>
    <n v="1076694.49"/>
  </r>
  <r>
    <x v="2"/>
    <x v="1"/>
    <x v="26"/>
    <n v="8480576.4199999999"/>
    <x v="209"/>
    <x v="209"/>
    <n v="13893859.65"/>
  </r>
  <r>
    <x v="4"/>
    <x v="1"/>
    <x v="26"/>
    <n v="182472141.28"/>
    <x v="210"/>
    <x v="210"/>
    <n v="7871831.46"/>
  </r>
  <r>
    <x v="0"/>
    <x v="1"/>
    <x v="26"/>
    <n v="12278331.24"/>
    <x v="211"/>
    <x v="211"/>
    <n v="3236764.7"/>
  </r>
  <r>
    <x v="1"/>
    <x v="1"/>
    <x v="26"/>
    <n v="658757301.83000004"/>
    <x v="212"/>
    <x v="212"/>
    <n v="60682309.310000002"/>
  </r>
  <r>
    <x v="0"/>
    <x v="14"/>
    <x v="27"/>
    <n v="174587527.72999999"/>
    <x v="213"/>
    <x v="213"/>
    <n v="5021522.74"/>
  </r>
  <r>
    <x v="6"/>
    <x v="14"/>
    <x v="27"/>
    <n v="63038112.159999996"/>
    <x v="214"/>
    <x v="214"/>
    <n v="4616046.9400000004"/>
  </r>
  <r>
    <x v="1"/>
    <x v="14"/>
    <x v="27"/>
    <n v="90591476.430000007"/>
    <x v="215"/>
    <x v="215"/>
    <n v="49671903.119999997"/>
  </r>
  <r>
    <x v="3"/>
    <x v="14"/>
    <x v="27"/>
    <n v="135297367.19"/>
    <x v="216"/>
    <x v="216"/>
    <n v="6141865.6399999997"/>
  </r>
  <r>
    <x v="7"/>
    <x v="14"/>
    <x v="27"/>
    <n v="97684395.129999995"/>
    <x v="217"/>
    <x v="217"/>
    <n v="14266553.390000001"/>
  </r>
  <r>
    <x v="5"/>
    <x v="14"/>
    <x v="27"/>
    <n v="-26998875.75"/>
    <x v="218"/>
    <x v="218"/>
    <n v="6784962.1699999999"/>
  </r>
  <r>
    <x v="4"/>
    <x v="14"/>
    <x v="27"/>
    <n v="84299992.530000001"/>
    <x v="219"/>
    <x v="219"/>
    <n v="5416143.3099999996"/>
  </r>
  <r>
    <x v="2"/>
    <x v="14"/>
    <x v="27"/>
    <n v="237894973.28999999"/>
    <x v="220"/>
    <x v="220"/>
    <n v="14066790.17"/>
  </r>
  <r>
    <x v="7"/>
    <x v="15"/>
    <x v="28"/>
    <n v="43294863.549999997"/>
    <x v="221"/>
    <x v="221"/>
    <n v="75818411.959999993"/>
  </r>
  <r>
    <x v="1"/>
    <x v="15"/>
    <x v="28"/>
    <n v="579274048.24000001"/>
    <x v="222"/>
    <x v="222"/>
    <n v="140469561.55000001"/>
  </r>
  <r>
    <x v="5"/>
    <x v="15"/>
    <x v="28"/>
    <n v="113668929.58"/>
    <x v="223"/>
    <x v="223"/>
    <n v="401582497.99000001"/>
  </r>
  <r>
    <x v="4"/>
    <x v="15"/>
    <x v="28"/>
    <n v="188835596.5"/>
    <x v="224"/>
    <x v="224"/>
    <n v="329602302.82999998"/>
  </r>
  <r>
    <x v="0"/>
    <x v="15"/>
    <x v="28"/>
    <n v="38000363.759999998"/>
    <x v="225"/>
    <x v="225"/>
    <n v="128169643.48999999"/>
  </r>
  <r>
    <x v="3"/>
    <x v="15"/>
    <x v="28"/>
    <n v="91113334.25"/>
    <x v="226"/>
    <x v="226"/>
    <n v="375583973.31"/>
  </r>
  <r>
    <x v="6"/>
    <x v="15"/>
    <x v="28"/>
    <n v="101119950.34999999"/>
    <x v="227"/>
    <x v="227"/>
    <n v="236743109.75"/>
  </r>
  <r>
    <x v="2"/>
    <x v="15"/>
    <x v="28"/>
    <n v="25496384.289999999"/>
    <x v="228"/>
    <x v="228"/>
    <n v="97494841.900000006"/>
  </r>
  <r>
    <x v="6"/>
    <x v="3"/>
    <x v="29"/>
    <n v="17500378.899999999"/>
    <x v="229"/>
    <x v="229"/>
    <n v="837824.58"/>
  </r>
  <r>
    <x v="1"/>
    <x v="3"/>
    <x v="29"/>
    <n v="48985847.149999999"/>
    <x v="230"/>
    <x v="230"/>
    <n v="18513357.949999999"/>
  </r>
  <r>
    <x v="4"/>
    <x v="3"/>
    <x v="29"/>
    <n v="56698091.340000004"/>
    <x v="231"/>
    <x v="231"/>
    <n v="1680920.35"/>
  </r>
  <r>
    <x v="3"/>
    <x v="3"/>
    <x v="29"/>
    <n v="53624522.369999997"/>
    <x v="232"/>
    <x v="232"/>
    <n v="992205.41"/>
  </r>
  <r>
    <x v="0"/>
    <x v="3"/>
    <x v="29"/>
    <n v="114369337.98999999"/>
    <x v="233"/>
    <x v="233"/>
    <n v="4034713.52"/>
  </r>
  <r>
    <x v="5"/>
    <x v="3"/>
    <x v="29"/>
    <n v="70309266.549999997"/>
    <x v="234"/>
    <x v="234"/>
    <n v="5281659.59"/>
  </r>
  <r>
    <x v="7"/>
    <x v="3"/>
    <x v="29"/>
    <n v="63870370.57"/>
    <x v="235"/>
    <x v="235"/>
    <n v="8227920.6799999997"/>
  </r>
  <r>
    <x v="2"/>
    <x v="3"/>
    <x v="29"/>
    <n v="49563287.109999999"/>
    <x v="236"/>
    <x v="236"/>
    <n v="3850266.67"/>
  </r>
  <r>
    <x v="3"/>
    <x v="16"/>
    <x v="30"/>
    <n v="59264715.829999998"/>
    <x v="237"/>
    <x v="237"/>
    <n v="14586539.01"/>
  </r>
  <r>
    <x v="2"/>
    <x v="16"/>
    <x v="30"/>
    <n v="47191061.130000003"/>
    <x v="238"/>
    <x v="238"/>
    <n v="19280520.899999999"/>
  </r>
  <r>
    <x v="6"/>
    <x v="16"/>
    <x v="30"/>
    <n v="45629783.479999997"/>
    <x v="239"/>
    <x v="239"/>
    <n v="3292262.16"/>
  </r>
  <r>
    <x v="5"/>
    <x v="16"/>
    <x v="30"/>
    <n v="543553868.11000001"/>
    <x v="240"/>
    <x v="240"/>
    <n v="13702736.949999999"/>
  </r>
  <r>
    <x v="7"/>
    <x v="16"/>
    <x v="30"/>
    <n v="51520223.799999997"/>
    <x v="241"/>
    <x v="241"/>
    <n v="26026533.649999999"/>
  </r>
  <r>
    <x v="4"/>
    <x v="16"/>
    <x v="30"/>
    <n v="131620959.66"/>
    <x v="242"/>
    <x v="242"/>
    <n v="2682405.4500000002"/>
  </r>
  <r>
    <x v="1"/>
    <x v="16"/>
    <x v="30"/>
    <n v="326827726.01999998"/>
    <x v="243"/>
    <x v="243"/>
    <n v="100975757.97"/>
  </r>
  <r>
    <x v="0"/>
    <x v="16"/>
    <x v="30"/>
    <n v="399125478.55000001"/>
    <x v="244"/>
    <x v="244"/>
    <n v="3059901.53"/>
  </r>
  <r>
    <x v="7"/>
    <x v="10"/>
    <x v="31"/>
    <n v="2140952.84"/>
    <x v="245"/>
    <x v="245"/>
    <n v="973729.04"/>
  </r>
  <r>
    <x v="3"/>
    <x v="10"/>
    <x v="31"/>
    <n v="5905099.7699999996"/>
    <x v="246"/>
    <x v="246"/>
    <n v="95270.22"/>
  </r>
  <r>
    <x v="5"/>
    <x v="10"/>
    <x v="31"/>
    <n v="34582259.670000002"/>
    <x v="247"/>
    <x v="247"/>
    <n v="708814.58"/>
  </r>
  <r>
    <x v="1"/>
    <x v="10"/>
    <x v="31"/>
    <n v="8252546.1500000004"/>
    <x v="248"/>
    <x v="248"/>
    <n v="2539243.54"/>
  </r>
  <r>
    <x v="0"/>
    <x v="10"/>
    <x v="31"/>
    <n v="407892.11"/>
    <x v="249"/>
    <x v="249"/>
    <n v="2072.9299999999998"/>
  </r>
  <r>
    <x v="2"/>
    <x v="10"/>
    <x v="31"/>
    <n v="2399684.2000000002"/>
    <x v="250"/>
    <x v="250"/>
    <n v="879879.52"/>
  </r>
  <r>
    <x v="6"/>
    <x v="10"/>
    <x v="31"/>
    <n v="1091253.81"/>
    <x v="251"/>
    <x v="251"/>
    <n v="174946.88"/>
  </r>
  <r>
    <x v="4"/>
    <x v="10"/>
    <x v="31"/>
    <n v="-870514.13"/>
    <x v="252"/>
    <x v="252"/>
    <n v="693089.37"/>
  </r>
  <r>
    <x v="1"/>
    <x v="1"/>
    <x v="32"/>
    <n v="218760870.06"/>
    <x v="253"/>
    <x v="253"/>
    <n v="22327688.84"/>
  </r>
  <r>
    <x v="4"/>
    <x v="1"/>
    <x v="32"/>
    <n v="162467446.09999999"/>
    <x v="254"/>
    <x v="254"/>
    <n v="92195752.959999993"/>
  </r>
  <r>
    <x v="5"/>
    <x v="1"/>
    <x v="32"/>
    <n v="106929201.45999999"/>
    <x v="255"/>
    <x v="255"/>
    <n v="34860353.960000001"/>
  </r>
  <r>
    <x v="0"/>
    <x v="1"/>
    <x v="32"/>
    <n v="1125668915.4100001"/>
    <x v="256"/>
    <x v="256"/>
    <n v="66571604.380000003"/>
  </r>
  <r>
    <x v="3"/>
    <x v="1"/>
    <x v="32"/>
    <n v="112040801.09"/>
    <x v="257"/>
    <x v="257"/>
    <n v="62414493.350000001"/>
  </r>
  <r>
    <x v="2"/>
    <x v="1"/>
    <x v="32"/>
    <n v="214772553.56"/>
    <x v="258"/>
    <x v="258"/>
    <n v="67711607.25"/>
  </r>
  <r>
    <x v="7"/>
    <x v="1"/>
    <x v="32"/>
    <n v="64557690.43"/>
    <x v="259"/>
    <x v="259"/>
    <n v="72674513.349999994"/>
  </r>
  <r>
    <x v="6"/>
    <x v="1"/>
    <x v="32"/>
    <n v="36917521.130000003"/>
    <x v="260"/>
    <x v="260"/>
    <n v="68179851.420000002"/>
  </r>
  <r>
    <x v="2"/>
    <x v="17"/>
    <x v="33"/>
    <n v="12620801.5"/>
    <x v="261"/>
    <x v="261"/>
    <n v="2203076.0099999998"/>
  </r>
  <r>
    <x v="3"/>
    <x v="17"/>
    <x v="33"/>
    <n v="22289173.640000001"/>
    <x v="262"/>
    <x v="262"/>
    <n v="476733.63"/>
  </r>
  <r>
    <x v="7"/>
    <x v="17"/>
    <x v="33"/>
    <n v="4439281.6500000004"/>
    <x v="263"/>
    <x v="263"/>
    <n v="5989351.9100000001"/>
  </r>
  <r>
    <x v="6"/>
    <x v="17"/>
    <x v="33"/>
    <n v="13950245.789999999"/>
    <x v="264"/>
    <x v="264"/>
    <n v="1738588.1599999999"/>
  </r>
  <r>
    <x v="5"/>
    <x v="17"/>
    <x v="33"/>
    <n v="36611188.090000004"/>
    <x v="265"/>
    <x v="265"/>
    <n v="587049.86"/>
  </r>
  <r>
    <x v="1"/>
    <x v="17"/>
    <x v="33"/>
    <n v="1146259647.3"/>
    <x v="266"/>
    <x v="266"/>
    <n v="78827725.810000002"/>
  </r>
  <r>
    <x v="4"/>
    <x v="17"/>
    <x v="33"/>
    <n v="69715937.840000004"/>
    <x v="267"/>
    <x v="267"/>
    <n v="629250.05000000005"/>
  </r>
  <r>
    <x v="0"/>
    <x v="17"/>
    <x v="33"/>
    <n v="2523743.34"/>
    <x v="268"/>
    <x v="268"/>
    <n v="4885421.33"/>
  </r>
  <r>
    <x v="1"/>
    <x v="5"/>
    <x v="34"/>
    <n v="325837325.11000001"/>
    <x v="269"/>
    <x v="269"/>
    <n v="618099777.29999995"/>
  </r>
  <r>
    <x v="3"/>
    <x v="5"/>
    <x v="34"/>
    <n v="1936398240.3800001"/>
    <x v="270"/>
    <x v="270"/>
    <n v="536006484"/>
  </r>
  <r>
    <x v="4"/>
    <x v="5"/>
    <x v="34"/>
    <n v="1730627730.4400001"/>
    <x v="271"/>
    <x v="271"/>
    <n v="429910268.45999998"/>
  </r>
  <r>
    <x v="6"/>
    <x v="5"/>
    <x v="34"/>
    <n v="955494489.92999995"/>
    <x v="272"/>
    <x v="272"/>
    <n v="183836443"/>
  </r>
  <r>
    <x v="0"/>
    <x v="5"/>
    <x v="34"/>
    <n v="1009703569.7"/>
    <x v="273"/>
    <x v="273"/>
    <n v="288805276.57999998"/>
  </r>
  <r>
    <x v="2"/>
    <x v="5"/>
    <x v="34"/>
    <n v="899951958.91999996"/>
    <x v="274"/>
    <x v="274"/>
    <n v="705946963.24000001"/>
  </r>
  <r>
    <x v="5"/>
    <x v="5"/>
    <x v="34"/>
    <n v="2806303186.9499998"/>
    <x v="275"/>
    <x v="275"/>
    <n v="504621559.57999998"/>
  </r>
  <r>
    <x v="7"/>
    <x v="5"/>
    <x v="34"/>
    <n v="2758983168.0599999"/>
    <x v="276"/>
    <x v="276"/>
    <n v="502437456.99000001"/>
  </r>
  <r>
    <x v="7"/>
    <x v="15"/>
    <x v="35"/>
    <n v="56035691.670000002"/>
    <x v="277"/>
    <x v="277"/>
    <n v="7523822.1100000003"/>
  </r>
  <r>
    <x v="2"/>
    <x v="15"/>
    <x v="35"/>
    <n v="81691032.370000005"/>
    <x v="278"/>
    <x v="278"/>
    <n v="1130742.53"/>
  </r>
  <r>
    <x v="3"/>
    <x v="15"/>
    <x v="35"/>
    <n v="85242867.739999995"/>
    <x v="279"/>
    <x v="279"/>
    <n v="17408859.77"/>
  </r>
  <r>
    <x v="0"/>
    <x v="15"/>
    <x v="35"/>
    <n v="58527739.189999998"/>
    <x v="280"/>
    <x v="280"/>
    <n v="9962570.0899999999"/>
  </r>
  <r>
    <x v="1"/>
    <x v="15"/>
    <x v="35"/>
    <n v="54872482.609999999"/>
    <x v="281"/>
    <x v="281"/>
    <n v="62930980.990000002"/>
  </r>
  <r>
    <x v="6"/>
    <x v="15"/>
    <x v="35"/>
    <n v="3332346.15"/>
    <x v="282"/>
    <x v="282"/>
    <n v="18102823.98"/>
  </r>
  <r>
    <x v="4"/>
    <x v="15"/>
    <x v="35"/>
    <n v="131362408.23999999"/>
    <x v="283"/>
    <x v="283"/>
    <n v="39723179.670000002"/>
  </r>
  <r>
    <x v="5"/>
    <x v="15"/>
    <x v="35"/>
    <n v="61609320.240000002"/>
    <x v="284"/>
    <x v="284"/>
    <n v="48843229.780000001"/>
  </r>
  <r>
    <x v="5"/>
    <x v="18"/>
    <x v="36"/>
    <n v="23245243.850000001"/>
    <x v="285"/>
    <x v="285"/>
    <n v="2190926.87"/>
  </r>
  <r>
    <x v="7"/>
    <x v="18"/>
    <x v="36"/>
    <n v="286725656.92000002"/>
    <x v="286"/>
    <x v="286"/>
    <n v="5845177.1900000004"/>
  </r>
  <r>
    <x v="0"/>
    <x v="18"/>
    <x v="36"/>
    <n v="16092041.27"/>
    <x v="287"/>
    <x v="287"/>
    <n v="1841739.59"/>
  </r>
  <r>
    <x v="4"/>
    <x v="18"/>
    <x v="36"/>
    <n v="8085357.9800000004"/>
    <x v="288"/>
    <x v="288"/>
    <n v="3563139.72"/>
  </r>
  <r>
    <x v="2"/>
    <x v="18"/>
    <x v="36"/>
    <n v="-271140499.85000002"/>
    <x v="289"/>
    <x v="289"/>
    <n v="6376993.9900000002"/>
  </r>
  <r>
    <x v="1"/>
    <x v="18"/>
    <x v="36"/>
    <n v="388358962.57999998"/>
    <x v="290"/>
    <x v="290"/>
    <n v="23450374.670000002"/>
  </r>
  <r>
    <x v="3"/>
    <x v="18"/>
    <x v="36"/>
    <n v="15128685.32"/>
    <x v="291"/>
    <x v="291"/>
    <n v="1000117.61"/>
  </r>
  <r>
    <x v="6"/>
    <x v="18"/>
    <x v="36"/>
    <n v="10458089.939999999"/>
    <x v="292"/>
    <x v="292"/>
    <n v="1098692.22"/>
  </r>
  <r>
    <x v="5"/>
    <x v="19"/>
    <x v="37"/>
    <n v="29258439.300000001"/>
    <x v="293"/>
    <x v="293"/>
    <n v="33068617.780000001"/>
  </r>
  <r>
    <x v="3"/>
    <x v="19"/>
    <x v="37"/>
    <n v="40182168.079999998"/>
    <x v="294"/>
    <x v="294"/>
    <n v="15161485.109999999"/>
  </r>
  <r>
    <x v="4"/>
    <x v="19"/>
    <x v="37"/>
    <n v="9497967.4700000007"/>
    <x v="295"/>
    <x v="295"/>
    <n v="21119391.949999999"/>
  </r>
  <r>
    <x v="1"/>
    <x v="19"/>
    <x v="37"/>
    <n v="3267698039.8699999"/>
    <x v="296"/>
    <x v="296"/>
    <n v="237366183.06999999"/>
  </r>
  <r>
    <x v="0"/>
    <x v="19"/>
    <x v="37"/>
    <n v="9814962.3699999992"/>
    <x v="297"/>
    <x v="297"/>
    <n v="13415720.039999999"/>
  </r>
  <r>
    <x v="2"/>
    <x v="19"/>
    <x v="37"/>
    <n v="18287983.120000001"/>
    <x v="298"/>
    <x v="298"/>
    <n v="31646419.82"/>
  </r>
  <r>
    <x v="7"/>
    <x v="19"/>
    <x v="37"/>
    <n v="14726056.67"/>
    <x v="299"/>
    <x v="299"/>
    <n v="35200743.079999998"/>
  </r>
  <r>
    <x v="6"/>
    <x v="19"/>
    <x v="37"/>
    <n v="49125245.909999996"/>
    <x v="300"/>
    <x v="300"/>
    <n v="16328819.279999999"/>
  </r>
  <r>
    <x v="1"/>
    <x v="12"/>
    <x v="38"/>
    <n v="6118456015.8800001"/>
    <x v="301"/>
    <x v="301"/>
    <n v="1094818306.9000001"/>
  </r>
  <r>
    <x v="3"/>
    <x v="12"/>
    <x v="38"/>
    <n v="239556194.94"/>
    <x v="302"/>
    <x v="302"/>
    <n v="46069805.43"/>
  </r>
  <r>
    <x v="2"/>
    <x v="12"/>
    <x v="38"/>
    <n v="356348006.86000001"/>
    <x v="303"/>
    <x v="303"/>
    <n v="121152554.5"/>
  </r>
  <r>
    <x v="7"/>
    <x v="12"/>
    <x v="38"/>
    <n v="173684533.36000001"/>
    <x v="304"/>
    <x v="304"/>
    <n v="124677289.47"/>
  </r>
  <r>
    <x v="0"/>
    <x v="12"/>
    <x v="38"/>
    <n v="180665733.90000001"/>
    <x v="305"/>
    <x v="305"/>
    <n v="17090289.91"/>
  </r>
  <r>
    <x v="6"/>
    <x v="12"/>
    <x v="38"/>
    <n v="279010553.74000001"/>
    <x v="306"/>
    <x v="306"/>
    <n v="15919824.779999999"/>
  </r>
  <r>
    <x v="5"/>
    <x v="12"/>
    <x v="38"/>
    <n v="254572303.78"/>
    <x v="307"/>
    <x v="307"/>
    <n v="43102481.310000002"/>
  </r>
  <r>
    <x v="4"/>
    <x v="12"/>
    <x v="38"/>
    <n v="245555511.61000001"/>
    <x v="308"/>
    <x v="308"/>
    <n v="31097638.199999999"/>
  </r>
  <r>
    <x v="6"/>
    <x v="3"/>
    <x v="39"/>
    <n v="1185601.67"/>
    <x v="309"/>
    <x v="309"/>
    <n v="193"/>
  </r>
  <r>
    <x v="2"/>
    <x v="3"/>
    <x v="39"/>
    <n v="-2556390.13"/>
    <x v="310"/>
    <x v="310"/>
    <n v="80152.56"/>
  </r>
  <r>
    <x v="0"/>
    <x v="3"/>
    <x v="39"/>
    <n v="443774.98"/>
    <x v="311"/>
    <x v="311"/>
    <n v="29250"/>
  </r>
  <r>
    <x v="5"/>
    <x v="3"/>
    <x v="39"/>
    <n v="19157303.289999999"/>
    <x v="312"/>
    <x v="312"/>
    <n v="24758.75"/>
  </r>
  <r>
    <x v="7"/>
    <x v="3"/>
    <x v="39"/>
    <n v="4857838.8899999997"/>
    <x v="313"/>
    <x v="313"/>
    <n v="2106803.5"/>
  </r>
  <r>
    <x v="3"/>
    <x v="3"/>
    <x v="39"/>
    <n v="1039828.15"/>
    <x v="314"/>
    <x v="314"/>
    <n v="0"/>
  </r>
  <r>
    <x v="1"/>
    <x v="3"/>
    <x v="39"/>
    <n v="101527941.33"/>
    <x v="315"/>
    <x v="315"/>
    <n v="8054525.9400000004"/>
  </r>
  <r>
    <x v="4"/>
    <x v="3"/>
    <x v="39"/>
    <n v="1161716.92"/>
    <x v="316"/>
    <x v="316"/>
    <n v="0"/>
  </r>
  <r>
    <x v="5"/>
    <x v="14"/>
    <x v="40"/>
    <n v="25662247.73"/>
    <x v="317"/>
    <x v="317"/>
    <n v="1787175.89"/>
  </r>
  <r>
    <x v="1"/>
    <x v="14"/>
    <x v="40"/>
    <n v="21906957.280000001"/>
    <x v="318"/>
    <x v="318"/>
    <n v="15167299.17"/>
  </r>
  <r>
    <x v="0"/>
    <x v="14"/>
    <x v="40"/>
    <n v="44966225.420000002"/>
    <x v="319"/>
    <x v="319"/>
    <n v="811182.46"/>
  </r>
  <r>
    <x v="3"/>
    <x v="14"/>
    <x v="40"/>
    <n v="22176541.300000001"/>
    <x v="320"/>
    <x v="320"/>
    <n v="848680.04"/>
  </r>
  <r>
    <x v="7"/>
    <x v="14"/>
    <x v="40"/>
    <n v="23329335.899999999"/>
    <x v="321"/>
    <x v="321"/>
    <n v="5493396.5300000003"/>
  </r>
  <r>
    <x v="4"/>
    <x v="14"/>
    <x v="40"/>
    <n v="29058192.079999998"/>
    <x v="322"/>
    <x v="322"/>
    <n v="528030.65"/>
  </r>
  <r>
    <x v="6"/>
    <x v="14"/>
    <x v="40"/>
    <n v="13453759.439999999"/>
    <x v="323"/>
    <x v="323"/>
    <n v="865742.53"/>
  </r>
  <r>
    <x v="2"/>
    <x v="14"/>
    <x v="40"/>
    <n v="25035131.66"/>
    <x v="324"/>
    <x v="324"/>
    <n v="4140526.19"/>
  </r>
  <r>
    <x v="2"/>
    <x v="1"/>
    <x v="41"/>
    <n v="29155.61"/>
    <x v="325"/>
    <x v="325"/>
    <n v="0"/>
  </r>
  <r>
    <x v="6"/>
    <x v="1"/>
    <x v="41"/>
    <n v="1113149.1100000001"/>
    <x v="326"/>
    <x v="326"/>
    <n v="0"/>
  </r>
  <r>
    <x v="0"/>
    <x v="1"/>
    <x v="41"/>
    <n v="1291144.78"/>
    <x v="327"/>
    <x v="327"/>
    <n v="0"/>
  </r>
  <r>
    <x v="3"/>
    <x v="1"/>
    <x v="41"/>
    <n v="29404.42"/>
    <x v="328"/>
    <x v="328"/>
    <n v="0"/>
  </r>
  <r>
    <x v="1"/>
    <x v="1"/>
    <x v="41"/>
    <n v="16473.04"/>
    <x v="329"/>
    <x v="329"/>
    <n v="0"/>
  </r>
  <r>
    <x v="7"/>
    <x v="1"/>
    <x v="41"/>
    <n v="78624.289999999994"/>
    <x v="330"/>
    <x v="330"/>
    <n v="0"/>
  </r>
  <r>
    <x v="5"/>
    <x v="1"/>
    <x v="41"/>
    <n v="18649.560000000001"/>
    <x v="331"/>
    <x v="331"/>
    <n v="0"/>
  </r>
  <r>
    <x v="7"/>
    <x v="20"/>
    <x v="42"/>
    <n v="1626047.06"/>
    <x v="332"/>
    <x v="332"/>
    <n v="42838.65"/>
  </r>
  <r>
    <x v="6"/>
    <x v="20"/>
    <x v="42"/>
    <n v="1814797.36"/>
    <x v="333"/>
    <x v="333"/>
    <n v="0"/>
  </r>
  <r>
    <x v="5"/>
    <x v="20"/>
    <x v="42"/>
    <n v="1529147.2"/>
    <x v="334"/>
    <x v="334"/>
    <n v="0"/>
  </r>
  <r>
    <x v="4"/>
    <x v="20"/>
    <x v="42"/>
    <n v="241163.9"/>
    <x v="335"/>
    <x v="335"/>
    <n v="19876.77"/>
  </r>
  <r>
    <x v="1"/>
    <x v="20"/>
    <x v="42"/>
    <n v="9131418.4900000002"/>
    <x v="336"/>
    <x v="336"/>
    <n v="607469.93000000005"/>
  </r>
  <r>
    <x v="3"/>
    <x v="20"/>
    <x v="42"/>
    <n v="152308.18"/>
    <x v="337"/>
    <x v="337"/>
    <n v="243778.32"/>
  </r>
  <r>
    <x v="0"/>
    <x v="20"/>
    <x v="42"/>
    <n v="110294.99"/>
    <x v="338"/>
    <x v="338"/>
    <n v="0"/>
  </r>
  <r>
    <x v="2"/>
    <x v="20"/>
    <x v="42"/>
    <n v="-1987212.72"/>
    <x v="339"/>
    <x v="339"/>
    <n v="9932.09"/>
  </r>
  <r>
    <x v="7"/>
    <x v="7"/>
    <x v="43"/>
    <n v="13218682.76"/>
    <x v="340"/>
    <x v="340"/>
    <n v="1425357.71"/>
  </r>
  <r>
    <x v="5"/>
    <x v="7"/>
    <x v="43"/>
    <n v="24236742.350000001"/>
    <x v="341"/>
    <x v="341"/>
    <n v="21949.08"/>
  </r>
  <r>
    <x v="2"/>
    <x v="7"/>
    <x v="43"/>
    <n v="57758366.07"/>
    <x v="342"/>
    <x v="342"/>
    <n v="1776842.26"/>
  </r>
  <r>
    <x v="6"/>
    <x v="7"/>
    <x v="43"/>
    <n v="133224.01999999999"/>
    <x v="343"/>
    <x v="343"/>
    <n v="25440"/>
  </r>
  <r>
    <x v="1"/>
    <x v="7"/>
    <x v="43"/>
    <n v="5685440.8099999996"/>
    <x v="344"/>
    <x v="344"/>
    <n v="7046365.9699999997"/>
  </r>
  <r>
    <x v="3"/>
    <x v="7"/>
    <x v="43"/>
    <n v="2625152.7599999998"/>
    <x v="345"/>
    <x v="345"/>
    <n v="286647.74"/>
  </r>
  <r>
    <x v="0"/>
    <x v="7"/>
    <x v="43"/>
    <n v="165041.67000000001"/>
    <x v="346"/>
    <x v="346"/>
    <n v="426530.27"/>
  </r>
  <r>
    <x v="4"/>
    <x v="7"/>
    <x v="43"/>
    <n v="3073810.39"/>
    <x v="347"/>
    <x v="347"/>
    <n v="157399.16"/>
  </r>
  <r>
    <x v="3"/>
    <x v="7"/>
    <x v="44"/>
    <n v="2417259.56"/>
    <x v="348"/>
    <x v="348"/>
    <n v="2502.66"/>
  </r>
  <r>
    <x v="1"/>
    <x v="7"/>
    <x v="44"/>
    <n v="40385128"/>
    <x v="349"/>
    <x v="349"/>
    <n v="2798560.82"/>
  </r>
  <r>
    <x v="7"/>
    <x v="7"/>
    <x v="44"/>
    <n v="40921910.890000001"/>
    <x v="350"/>
    <x v="350"/>
    <n v="52323.95"/>
  </r>
  <r>
    <x v="2"/>
    <x v="7"/>
    <x v="44"/>
    <n v="-39643899.780000001"/>
    <x v="351"/>
    <x v="351"/>
    <n v="123790.21"/>
  </r>
  <r>
    <x v="4"/>
    <x v="7"/>
    <x v="44"/>
    <n v="1567194.82"/>
    <x v="352"/>
    <x v="352"/>
    <n v="1043.4000000000001"/>
  </r>
  <r>
    <x v="0"/>
    <x v="7"/>
    <x v="44"/>
    <n v="361216.08"/>
    <x v="353"/>
    <x v="353"/>
    <n v="651.20000000000005"/>
  </r>
  <r>
    <x v="5"/>
    <x v="7"/>
    <x v="44"/>
    <n v="1492021"/>
    <x v="354"/>
    <x v="354"/>
    <n v="19653.169999999998"/>
  </r>
  <r>
    <x v="6"/>
    <x v="7"/>
    <x v="44"/>
    <n v="476492.49"/>
    <x v="355"/>
    <x v="355"/>
    <n v="991.6"/>
  </r>
  <r>
    <x v="3"/>
    <x v="12"/>
    <x v="45"/>
    <n v="87895663.519999996"/>
    <x v="356"/>
    <x v="356"/>
    <n v="9761604.1199999992"/>
  </r>
  <r>
    <x v="6"/>
    <x v="12"/>
    <x v="45"/>
    <n v="785590656.04999995"/>
    <x v="357"/>
    <x v="357"/>
    <n v="5317657.5599999996"/>
  </r>
  <r>
    <x v="1"/>
    <x v="12"/>
    <x v="45"/>
    <n v="225510486.83000001"/>
    <x v="358"/>
    <x v="358"/>
    <n v="222832215.31999999"/>
  </r>
  <r>
    <x v="0"/>
    <x v="12"/>
    <x v="45"/>
    <n v="156060014.94999999"/>
    <x v="359"/>
    <x v="359"/>
    <n v="8856322.3800000008"/>
  </r>
  <r>
    <x v="2"/>
    <x v="12"/>
    <x v="45"/>
    <n v="384219624.62"/>
    <x v="360"/>
    <x v="360"/>
    <n v="58510329.009999998"/>
  </r>
  <r>
    <x v="5"/>
    <x v="12"/>
    <x v="45"/>
    <n v="2919630654.23"/>
    <x v="361"/>
    <x v="361"/>
    <n v="9819127.0700000003"/>
  </r>
  <r>
    <x v="7"/>
    <x v="12"/>
    <x v="45"/>
    <n v="331458341.19"/>
    <x v="362"/>
    <x v="362"/>
    <n v="128088786.06"/>
  </r>
  <r>
    <x v="4"/>
    <x v="12"/>
    <x v="45"/>
    <n v="103434822.79000001"/>
    <x v="363"/>
    <x v="363"/>
    <n v="5111596.41"/>
  </r>
  <r>
    <x v="6"/>
    <x v="7"/>
    <x v="46"/>
    <n v="797619.89"/>
    <x v="364"/>
    <x v="364"/>
    <n v="1340.49"/>
  </r>
  <r>
    <x v="5"/>
    <x v="7"/>
    <x v="46"/>
    <n v="4537232.79"/>
    <x v="365"/>
    <x v="365"/>
    <n v="2070888.02"/>
  </r>
  <r>
    <x v="3"/>
    <x v="7"/>
    <x v="46"/>
    <n v="751272.69"/>
    <x v="366"/>
    <x v="366"/>
    <n v="17991.59"/>
  </r>
  <r>
    <x v="0"/>
    <x v="7"/>
    <x v="46"/>
    <n v="160536.69"/>
    <x v="367"/>
    <x v="367"/>
    <n v="830.02"/>
  </r>
  <r>
    <x v="2"/>
    <x v="7"/>
    <x v="46"/>
    <n v="-652119.63"/>
    <x v="368"/>
    <x v="368"/>
    <n v="1797349.04"/>
  </r>
  <r>
    <x v="4"/>
    <x v="7"/>
    <x v="46"/>
    <n v="818503.19"/>
    <x v="369"/>
    <x v="369"/>
    <n v="162832.29"/>
  </r>
  <r>
    <x v="7"/>
    <x v="7"/>
    <x v="46"/>
    <n v="8230738.0700000003"/>
    <x v="370"/>
    <x v="370"/>
    <n v="150912.57"/>
  </r>
  <r>
    <x v="1"/>
    <x v="7"/>
    <x v="46"/>
    <n v="707994.34"/>
    <x v="371"/>
    <x v="371"/>
    <n v="1320932.4099999999"/>
  </r>
  <r>
    <x v="5"/>
    <x v="21"/>
    <x v="47"/>
    <n v="2683550.11"/>
    <x v="372"/>
    <x v="372"/>
    <n v="1251658.99"/>
  </r>
  <r>
    <x v="0"/>
    <x v="21"/>
    <x v="47"/>
    <n v="1909782.73"/>
    <x v="373"/>
    <x v="373"/>
    <n v="414730.4"/>
  </r>
  <r>
    <x v="6"/>
    <x v="21"/>
    <x v="47"/>
    <n v="2671460.19"/>
    <x v="374"/>
    <x v="374"/>
    <n v="291480.78999999998"/>
  </r>
  <r>
    <x v="4"/>
    <x v="21"/>
    <x v="47"/>
    <n v="19659134.289999999"/>
    <x v="375"/>
    <x v="375"/>
    <n v="363807.18"/>
  </r>
  <r>
    <x v="7"/>
    <x v="21"/>
    <x v="47"/>
    <n v="4193325.82"/>
    <x v="376"/>
    <x v="376"/>
    <n v="2649632.7999999998"/>
  </r>
  <r>
    <x v="2"/>
    <x v="21"/>
    <x v="47"/>
    <n v="2459040.11"/>
    <x v="377"/>
    <x v="377"/>
    <n v="2220174.6"/>
  </r>
  <r>
    <x v="3"/>
    <x v="21"/>
    <x v="47"/>
    <n v="1942255.29"/>
    <x v="378"/>
    <x v="378"/>
    <n v="1732997.76"/>
  </r>
  <r>
    <x v="1"/>
    <x v="21"/>
    <x v="47"/>
    <n v="44197791.229999997"/>
    <x v="379"/>
    <x v="379"/>
    <n v="6302555.04"/>
  </r>
  <r>
    <x v="4"/>
    <x v="22"/>
    <x v="48"/>
    <n v="282807335.06999999"/>
    <x v="380"/>
    <x v="380"/>
    <n v="10354675.77"/>
  </r>
  <r>
    <x v="1"/>
    <x v="22"/>
    <x v="48"/>
    <n v="220711289.86000001"/>
    <x v="381"/>
    <x v="381"/>
    <n v="330097949.45999998"/>
  </r>
  <r>
    <x v="6"/>
    <x v="22"/>
    <x v="48"/>
    <n v="20478785.18"/>
    <x v="382"/>
    <x v="382"/>
    <n v="351871.92"/>
  </r>
  <r>
    <x v="5"/>
    <x v="22"/>
    <x v="48"/>
    <n v="346607083.11000001"/>
    <x v="383"/>
    <x v="383"/>
    <n v="35132418.369999997"/>
  </r>
  <r>
    <x v="3"/>
    <x v="22"/>
    <x v="48"/>
    <n v="238343013.97999999"/>
    <x v="384"/>
    <x v="384"/>
    <n v="17670898.43"/>
  </r>
  <r>
    <x v="2"/>
    <x v="22"/>
    <x v="48"/>
    <n v="46511006.68"/>
    <x v="385"/>
    <x v="385"/>
    <n v="84533253.640000001"/>
  </r>
  <r>
    <x v="7"/>
    <x v="22"/>
    <x v="48"/>
    <n v="676148320.41999996"/>
    <x v="386"/>
    <x v="386"/>
    <n v="119219351.72"/>
  </r>
  <r>
    <x v="0"/>
    <x v="22"/>
    <x v="48"/>
    <n v="477315953.17000002"/>
    <x v="387"/>
    <x v="387"/>
    <n v="9913952.0800000001"/>
  </r>
  <r>
    <x v="2"/>
    <x v="12"/>
    <x v="49"/>
    <n v="-13499635.619999999"/>
    <x v="388"/>
    <x v="388"/>
    <n v="280812.45"/>
  </r>
  <r>
    <x v="6"/>
    <x v="12"/>
    <x v="49"/>
    <n v="392908.15"/>
    <x v="389"/>
    <x v="389"/>
    <n v="34387.64"/>
  </r>
  <r>
    <x v="5"/>
    <x v="12"/>
    <x v="49"/>
    <n v="15578012.24"/>
    <x v="390"/>
    <x v="390"/>
    <n v="107111.26"/>
  </r>
  <r>
    <x v="4"/>
    <x v="12"/>
    <x v="49"/>
    <n v="4712305.2300000004"/>
    <x v="391"/>
    <x v="391"/>
    <n v="40212.959999999999"/>
  </r>
  <r>
    <x v="0"/>
    <x v="12"/>
    <x v="49"/>
    <n v="497712.03"/>
    <x v="392"/>
    <x v="392"/>
    <n v="469117.64"/>
  </r>
  <r>
    <x v="3"/>
    <x v="12"/>
    <x v="49"/>
    <n v="857651.31"/>
    <x v="393"/>
    <x v="393"/>
    <n v="178036.64"/>
  </r>
  <r>
    <x v="7"/>
    <x v="12"/>
    <x v="49"/>
    <n v="19002245.809999999"/>
    <x v="394"/>
    <x v="394"/>
    <n v="657745.1"/>
  </r>
  <r>
    <x v="1"/>
    <x v="12"/>
    <x v="49"/>
    <n v="107365293.63"/>
    <x v="395"/>
    <x v="395"/>
    <n v="9300274.3000000007"/>
  </r>
  <r>
    <x v="5"/>
    <x v="23"/>
    <x v="50"/>
    <n v="2883124.12"/>
    <x v="396"/>
    <x v="396"/>
    <n v="85162.91"/>
  </r>
  <r>
    <x v="6"/>
    <x v="23"/>
    <x v="50"/>
    <n v="-373034.53"/>
    <x v="397"/>
    <x v="397"/>
    <n v="165473.23000000001"/>
  </r>
  <r>
    <x v="0"/>
    <x v="23"/>
    <x v="50"/>
    <n v="744111.28"/>
    <x v="398"/>
    <x v="398"/>
    <n v="70405.72"/>
  </r>
  <r>
    <x v="2"/>
    <x v="23"/>
    <x v="50"/>
    <n v="2090237.16"/>
    <x v="399"/>
    <x v="399"/>
    <n v="298447.65999999997"/>
  </r>
  <r>
    <x v="3"/>
    <x v="23"/>
    <x v="50"/>
    <n v="274077.84999999998"/>
    <x v="400"/>
    <x v="400"/>
    <n v="918679.63"/>
  </r>
  <r>
    <x v="7"/>
    <x v="23"/>
    <x v="50"/>
    <n v="2218776.4500000002"/>
    <x v="401"/>
    <x v="401"/>
    <n v="240941.73"/>
  </r>
  <r>
    <x v="4"/>
    <x v="23"/>
    <x v="50"/>
    <n v="3042404.5"/>
    <x v="402"/>
    <x v="402"/>
    <n v="239202.91"/>
  </r>
  <r>
    <x v="1"/>
    <x v="23"/>
    <x v="50"/>
    <n v="85288955.230000004"/>
    <x v="403"/>
    <x v="403"/>
    <n v="5886314.6699999999"/>
  </r>
  <r>
    <x v="6"/>
    <x v="7"/>
    <x v="51"/>
    <n v="65999809.020000003"/>
    <x v="404"/>
    <x v="404"/>
    <n v="1063914.4099999999"/>
  </r>
  <r>
    <x v="3"/>
    <x v="7"/>
    <x v="51"/>
    <n v="2852477.26"/>
    <x v="405"/>
    <x v="405"/>
    <n v="723965.31"/>
  </r>
  <r>
    <x v="2"/>
    <x v="7"/>
    <x v="51"/>
    <n v="4180941.92"/>
    <x v="406"/>
    <x v="406"/>
    <n v="5966828.2000000002"/>
  </r>
  <r>
    <x v="0"/>
    <x v="7"/>
    <x v="51"/>
    <n v="22569579.289999999"/>
    <x v="407"/>
    <x v="407"/>
    <n v="673992.11"/>
  </r>
  <r>
    <x v="4"/>
    <x v="7"/>
    <x v="51"/>
    <n v="762404.25"/>
    <x v="408"/>
    <x v="408"/>
    <n v="5006250"/>
  </r>
  <r>
    <x v="1"/>
    <x v="7"/>
    <x v="51"/>
    <n v="56506633.299999997"/>
    <x v="409"/>
    <x v="409"/>
    <n v="6792048.9500000002"/>
  </r>
  <r>
    <x v="7"/>
    <x v="7"/>
    <x v="51"/>
    <n v="-821221.58"/>
    <x v="410"/>
    <x v="410"/>
    <n v="3698172.78"/>
  </r>
  <r>
    <x v="5"/>
    <x v="7"/>
    <x v="51"/>
    <n v="36497590.890000001"/>
    <x v="411"/>
    <x v="411"/>
    <n v="1159923.8"/>
  </r>
  <r>
    <x v="6"/>
    <x v="4"/>
    <x v="52"/>
    <n v="72594688.469999999"/>
    <x v="412"/>
    <x v="412"/>
    <n v="0"/>
  </r>
  <r>
    <x v="4"/>
    <x v="4"/>
    <x v="52"/>
    <n v="186886632.50999999"/>
    <x v="413"/>
    <x v="413"/>
    <n v="0"/>
  </r>
  <r>
    <x v="7"/>
    <x v="4"/>
    <x v="52"/>
    <n v="138460237.46000001"/>
    <x v="414"/>
    <x v="414"/>
    <n v="28599326.800000001"/>
  </r>
  <r>
    <x v="3"/>
    <x v="4"/>
    <x v="52"/>
    <n v="117852086.13"/>
    <x v="415"/>
    <x v="415"/>
    <n v="0"/>
  </r>
  <r>
    <x v="5"/>
    <x v="4"/>
    <x v="52"/>
    <n v="149841350.06999999"/>
    <x v="416"/>
    <x v="416"/>
    <n v="1160737.3"/>
  </r>
  <r>
    <x v="1"/>
    <x v="4"/>
    <x v="52"/>
    <n v="182970810.36000001"/>
    <x v="417"/>
    <x v="417"/>
    <n v="149248694.81999999"/>
  </r>
  <r>
    <x v="0"/>
    <x v="4"/>
    <x v="52"/>
    <n v="122144903.83"/>
    <x v="418"/>
    <x v="418"/>
    <n v="0"/>
  </r>
  <r>
    <x v="2"/>
    <x v="4"/>
    <x v="52"/>
    <n v="122261705.06"/>
    <x v="419"/>
    <x v="419"/>
    <n v="27224509.77"/>
  </r>
  <r>
    <x v="3"/>
    <x v="24"/>
    <x v="53"/>
    <n v="44313547.810000002"/>
    <x v="420"/>
    <x v="420"/>
    <n v="2897202.72"/>
  </r>
  <r>
    <x v="2"/>
    <x v="24"/>
    <x v="53"/>
    <n v="14165653.689999999"/>
    <x v="421"/>
    <x v="421"/>
    <n v="5037967.82"/>
  </r>
  <r>
    <x v="4"/>
    <x v="24"/>
    <x v="53"/>
    <n v="29504789.859999999"/>
    <x v="422"/>
    <x v="422"/>
    <n v="2814826.59"/>
  </r>
  <r>
    <x v="5"/>
    <x v="24"/>
    <x v="53"/>
    <n v="35823983.259999998"/>
    <x v="423"/>
    <x v="423"/>
    <n v="5700532.8899999997"/>
  </r>
  <r>
    <x v="7"/>
    <x v="24"/>
    <x v="53"/>
    <n v="20301219.07"/>
    <x v="424"/>
    <x v="424"/>
    <n v="8294600.8399999999"/>
  </r>
  <r>
    <x v="1"/>
    <x v="24"/>
    <x v="53"/>
    <n v="385692029.72000003"/>
    <x v="425"/>
    <x v="425"/>
    <n v="42837392.789999999"/>
  </r>
  <r>
    <x v="6"/>
    <x v="24"/>
    <x v="53"/>
    <n v="7382009.3099999996"/>
    <x v="426"/>
    <x v="426"/>
    <n v="1053103.32"/>
  </r>
  <r>
    <x v="0"/>
    <x v="24"/>
    <x v="53"/>
    <n v="158463692.47999999"/>
    <x v="427"/>
    <x v="427"/>
    <n v="2783491.55"/>
  </r>
  <r>
    <x v="1"/>
    <x v="24"/>
    <x v="54"/>
    <n v="0"/>
    <x v="329"/>
    <x v="329"/>
    <n v="31924.65"/>
  </r>
  <r>
    <x v="3"/>
    <x v="24"/>
    <x v="54"/>
    <n v="258474.19"/>
    <x v="428"/>
    <x v="428"/>
    <n v="72410.66"/>
  </r>
  <r>
    <x v="7"/>
    <x v="24"/>
    <x v="54"/>
    <n v="56186.99"/>
    <x v="329"/>
    <x v="329"/>
    <n v="31947.21"/>
  </r>
  <r>
    <x v="4"/>
    <x v="24"/>
    <x v="54"/>
    <n v="74741.14"/>
    <x v="429"/>
    <x v="429"/>
    <n v="2277.4"/>
  </r>
  <r>
    <x v="0"/>
    <x v="24"/>
    <x v="54"/>
    <n v="127443.24"/>
    <x v="430"/>
    <x v="430"/>
    <n v="0"/>
  </r>
  <r>
    <x v="2"/>
    <x v="24"/>
    <x v="54"/>
    <n v="140865.96"/>
    <x v="431"/>
    <x v="431"/>
    <n v="25361.07"/>
  </r>
  <r>
    <x v="6"/>
    <x v="24"/>
    <x v="54"/>
    <n v="2096396.68"/>
    <x v="432"/>
    <x v="432"/>
    <n v="246.25"/>
  </r>
  <r>
    <x v="5"/>
    <x v="24"/>
    <x v="54"/>
    <n v="479231.89"/>
    <x v="433"/>
    <x v="433"/>
    <n v="13663.05"/>
  </r>
  <r>
    <x v="3"/>
    <x v="4"/>
    <x v="55"/>
    <n v="556850597.14999998"/>
    <x v="434"/>
    <x v="434"/>
    <n v="218847163.66999999"/>
  </r>
  <r>
    <x v="5"/>
    <x v="4"/>
    <x v="55"/>
    <n v="438794128.41000003"/>
    <x v="435"/>
    <x v="435"/>
    <n v="253928045.78999999"/>
  </r>
  <r>
    <x v="6"/>
    <x v="4"/>
    <x v="55"/>
    <n v="580401027.80999994"/>
    <x v="436"/>
    <x v="436"/>
    <n v="25922577.760000002"/>
  </r>
  <r>
    <x v="4"/>
    <x v="4"/>
    <x v="55"/>
    <n v="555196452.02999997"/>
    <x v="437"/>
    <x v="437"/>
    <n v="121104382.20999999"/>
  </r>
  <r>
    <x v="2"/>
    <x v="4"/>
    <x v="55"/>
    <n v="862955697.00999999"/>
    <x v="438"/>
    <x v="438"/>
    <n v="541328996.80999994"/>
  </r>
  <r>
    <x v="7"/>
    <x v="4"/>
    <x v="55"/>
    <n v="1075901823.0699999"/>
    <x v="439"/>
    <x v="439"/>
    <n v="318056691.62"/>
  </r>
  <r>
    <x v="1"/>
    <x v="4"/>
    <x v="55"/>
    <n v="2017196550.6500001"/>
    <x v="440"/>
    <x v="440"/>
    <n v="313470886.31"/>
  </r>
  <r>
    <x v="0"/>
    <x v="4"/>
    <x v="55"/>
    <n v="1397860151.1900001"/>
    <x v="441"/>
    <x v="441"/>
    <n v="87487592.269999996"/>
  </r>
  <r>
    <x v="1"/>
    <x v="9"/>
    <x v="56"/>
    <n v="21762574.359999999"/>
    <x v="442"/>
    <x v="442"/>
    <n v="1597846.65"/>
  </r>
  <r>
    <x v="3"/>
    <x v="9"/>
    <x v="56"/>
    <n v="-378481.44"/>
    <x v="443"/>
    <x v="443"/>
    <n v="0"/>
  </r>
  <r>
    <x v="5"/>
    <x v="9"/>
    <x v="56"/>
    <n v="3103676.95"/>
    <x v="444"/>
    <x v="444"/>
    <n v="0"/>
  </r>
  <r>
    <x v="6"/>
    <x v="9"/>
    <x v="56"/>
    <n v="388581.24"/>
    <x v="445"/>
    <x v="445"/>
    <n v="0"/>
  </r>
  <r>
    <x v="2"/>
    <x v="9"/>
    <x v="56"/>
    <n v="83216.960000000006"/>
    <x v="446"/>
    <x v="446"/>
    <n v="0"/>
  </r>
  <r>
    <x v="7"/>
    <x v="9"/>
    <x v="56"/>
    <n v="44105.78"/>
    <x v="447"/>
    <x v="447"/>
    <n v="0"/>
  </r>
  <r>
    <x v="0"/>
    <x v="9"/>
    <x v="56"/>
    <n v="904928.41"/>
    <x v="448"/>
    <x v="448"/>
    <n v="0"/>
  </r>
  <r>
    <x v="4"/>
    <x v="9"/>
    <x v="56"/>
    <n v="2755588.6"/>
    <x v="449"/>
    <x v="449"/>
    <n v="0"/>
  </r>
  <r>
    <x v="6"/>
    <x v="12"/>
    <x v="57"/>
    <n v="15080368.439999999"/>
    <x v="450"/>
    <x v="450"/>
    <n v="8636121.0899999999"/>
  </r>
  <r>
    <x v="3"/>
    <x v="12"/>
    <x v="57"/>
    <n v="17495192.550000001"/>
    <x v="451"/>
    <x v="451"/>
    <n v="15332374.460000001"/>
  </r>
  <r>
    <x v="4"/>
    <x v="12"/>
    <x v="57"/>
    <n v="24982803.329999998"/>
    <x v="452"/>
    <x v="452"/>
    <n v="15823691.619999999"/>
  </r>
  <r>
    <x v="7"/>
    <x v="12"/>
    <x v="57"/>
    <n v="10096374.85"/>
    <x v="453"/>
    <x v="453"/>
    <n v="25379586.690000001"/>
  </r>
  <r>
    <x v="1"/>
    <x v="12"/>
    <x v="57"/>
    <n v="1768688891.75"/>
    <x v="454"/>
    <x v="454"/>
    <n v="108830431.89"/>
  </r>
  <r>
    <x v="0"/>
    <x v="12"/>
    <x v="57"/>
    <n v="37770773.5"/>
    <x v="455"/>
    <x v="455"/>
    <n v="8698605.7100000009"/>
  </r>
  <r>
    <x v="2"/>
    <x v="12"/>
    <x v="57"/>
    <n v="38115744.68"/>
    <x v="456"/>
    <x v="456"/>
    <n v="23611223.579999998"/>
  </r>
  <r>
    <x v="5"/>
    <x v="12"/>
    <x v="57"/>
    <n v="99761203.319999993"/>
    <x v="457"/>
    <x v="457"/>
    <n v="15813209.789999999"/>
  </r>
  <r>
    <x v="6"/>
    <x v="12"/>
    <x v="58"/>
    <n v="8639571.9199999999"/>
    <x v="458"/>
    <x v="458"/>
    <n v="2590045.42"/>
  </r>
  <r>
    <x v="4"/>
    <x v="12"/>
    <x v="58"/>
    <n v="25876070.550000001"/>
    <x v="459"/>
    <x v="459"/>
    <n v="1600281.02"/>
  </r>
  <r>
    <x v="7"/>
    <x v="12"/>
    <x v="58"/>
    <n v="10299284.35"/>
    <x v="460"/>
    <x v="460"/>
    <n v="6207094.8600000003"/>
  </r>
  <r>
    <x v="0"/>
    <x v="12"/>
    <x v="58"/>
    <n v="21585523.039999999"/>
    <x v="461"/>
    <x v="461"/>
    <n v="1337259.19"/>
  </r>
  <r>
    <x v="1"/>
    <x v="12"/>
    <x v="58"/>
    <n v="757281648.95000005"/>
    <x v="462"/>
    <x v="462"/>
    <n v="54625622.039999999"/>
  </r>
  <r>
    <x v="2"/>
    <x v="12"/>
    <x v="58"/>
    <n v="7229745.7400000002"/>
    <x v="463"/>
    <x v="463"/>
    <n v="7941946.2400000002"/>
  </r>
  <r>
    <x v="5"/>
    <x v="12"/>
    <x v="58"/>
    <n v="24334178.789999999"/>
    <x v="464"/>
    <x v="464"/>
    <n v="4594048.43"/>
  </r>
  <r>
    <x v="3"/>
    <x v="12"/>
    <x v="58"/>
    <n v="8191805.9000000004"/>
    <x v="465"/>
    <x v="465"/>
    <n v="4260311.75"/>
  </r>
  <r>
    <x v="7"/>
    <x v="12"/>
    <x v="59"/>
    <n v="21383904.850000001"/>
    <x v="466"/>
    <x v="466"/>
    <n v="2449462.7599999998"/>
  </r>
  <r>
    <x v="2"/>
    <x v="12"/>
    <x v="59"/>
    <n v="11259844.529999999"/>
    <x v="467"/>
    <x v="467"/>
    <n v="2162652.7599999998"/>
  </r>
  <r>
    <x v="3"/>
    <x v="12"/>
    <x v="59"/>
    <n v="35770390.170000002"/>
    <x v="468"/>
    <x v="468"/>
    <n v="4120795.26"/>
  </r>
  <r>
    <x v="4"/>
    <x v="12"/>
    <x v="59"/>
    <n v="28870672.030000001"/>
    <x v="469"/>
    <x v="469"/>
    <n v="1854117.7"/>
  </r>
  <r>
    <x v="5"/>
    <x v="12"/>
    <x v="59"/>
    <n v="22480479.559999999"/>
    <x v="470"/>
    <x v="470"/>
    <n v="1498152.22"/>
  </r>
  <r>
    <x v="0"/>
    <x v="12"/>
    <x v="59"/>
    <n v="134654964.99000001"/>
    <x v="471"/>
    <x v="471"/>
    <n v="2016030.6"/>
  </r>
  <r>
    <x v="6"/>
    <x v="12"/>
    <x v="59"/>
    <n v="10939878.77"/>
    <x v="472"/>
    <x v="472"/>
    <n v="1309934.6399999999"/>
  </r>
  <r>
    <x v="1"/>
    <x v="12"/>
    <x v="59"/>
    <n v="591702496.98000002"/>
    <x v="473"/>
    <x v="473"/>
    <n v="62959551.57"/>
  </r>
  <r>
    <x v="5"/>
    <x v="12"/>
    <x v="60"/>
    <n v="9619052.4800000004"/>
    <x v="474"/>
    <x v="474"/>
    <n v="2903917.05"/>
  </r>
  <r>
    <x v="4"/>
    <x v="12"/>
    <x v="60"/>
    <n v="23731768.190000001"/>
    <x v="475"/>
    <x v="475"/>
    <n v="5010625.29"/>
  </r>
  <r>
    <x v="1"/>
    <x v="12"/>
    <x v="60"/>
    <n v="268052177.03"/>
    <x v="476"/>
    <x v="476"/>
    <n v="18805815.899999999"/>
  </r>
  <r>
    <x v="6"/>
    <x v="12"/>
    <x v="60"/>
    <n v="3787889.14"/>
    <x v="477"/>
    <x v="477"/>
    <n v="3741930.93"/>
  </r>
  <r>
    <x v="3"/>
    <x v="12"/>
    <x v="60"/>
    <n v="4772517.6900000004"/>
    <x v="478"/>
    <x v="478"/>
    <n v="1890608.25"/>
  </r>
  <r>
    <x v="2"/>
    <x v="12"/>
    <x v="60"/>
    <n v="2373985.84"/>
    <x v="479"/>
    <x v="479"/>
    <n v="4056919.68"/>
  </r>
  <r>
    <x v="7"/>
    <x v="12"/>
    <x v="60"/>
    <n v="5602192.8600000003"/>
    <x v="480"/>
    <x v="480"/>
    <n v="1468290.03"/>
  </r>
  <r>
    <x v="0"/>
    <x v="12"/>
    <x v="60"/>
    <n v="6123284.5899999999"/>
    <x v="481"/>
    <x v="481"/>
    <n v="742579.07"/>
  </r>
  <r>
    <x v="4"/>
    <x v="12"/>
    <x v="61"/>
    <n v="15304492.890000001"/>
    <x v="482"/>
    <x v="482"/>
    <n v="735771.9"/>
  </r>
  <r>
    <x v="2"/>
    <x v="12"/>
    <x v="61"/>
    <n v="6299992.2199999997"/>
    <x v="483"/>
    <x v="483"/>
    <n v="5350038.18"/>
  </r>
  <r>
    <x v="3"/>
    <x v="12"/>
    <x v="61"/>
    <n v="7591420.79"/>
    <x v="484"/>
    <x v="484"/>
    <n v="722652.2"/>
  </r>
  <r>
    <x v="1"/>
    <x v="12"/>
    <x v="61"/>
    <n v="133329928.61"/>
    <x v="485"/>
    <x v="485"/>
    <n v="10726262.609999999"/>
  </r>
  <r>
    <x v="0"/>
    <x v="12"/>
    <x v="61"/>
    <n v="465375.43"/>
    <x v="486"/>
    <x v="486"/>
    <n v="939126.89"/>
  </r>
  <r>
    <x v="5"/>
    <x v="12"/>
    <x v="61"/>
    <n v="10723022.130000001"/>
    <x v="487"/>
    <x v="487"/>
    <n v="1643859.92"/>
  </r>
  <r>
    <x v="6"/>
    <x v="12"/>
    <x v="61"/>
    <n v="-335430.14"/>
    <x v="488"/>
    <x v="488"/>
    <n v="253111.77"/>
  </r>
  <r>
    <x v="7"/>
    <x v="12"/>
    <x v="61"/>
    <n v="4884327.8099999996"/>
    <x v="489"/>
    <x v="489"/>
    <n v="2006693.61"/>
  </r>
  <r>
    <x v="0"/>
    <x v="12"/>
    <x v="62"/>
    <n v="17705255.5"/>
    <x v="490"/>
    <x v="490"/>
    <n v="77699.44"/>
  </r>
  <r>
    <x v="4"/>
    <x v="12"/>
    <x v="62"/>
    <n v="58409875.270000003"/>
    <x v="491"/>
    <x v="491"/>
    <n v="1275708.92"/>
  </r>
  <r>
    <x v="1"/>
    <x v="12"/>
    <x v="62"/>
    <n v="641011297.86000001"/>
    <x v="492"/>
    <x v="492"/>
    <n v="57523647.719999999"/>
  </r>
  <r>
    <x v="5"/>
    <x v="12"/>
    <x v="62"/>
    <n v="12633538.27"/>
    <x v="493"/>
    <x v="493"/>
    <n v="1236928.79"/>
  </r>
  <r>
    <x v="7"/>
    <x v="12"/>
    <x v="62"/>
    <n v="7937649.6200000001"/>
    <x v="494"/>
    <x v="494"/>
    <n v="1756454.71"/>
  </r>
  <r>
    <x v="3"/>
    <x v="12"/>
    <x v="62"/>
    <n v="12001390.609999999"/>
    <x v="495"/>
    <x v="495"/>
    <n v="1126639.74"/>
  </r>
  <r>
    <x v="2"/>
    <x v="12"/>
    <x v="62"/>
    <n v="7560112.6900000004"/>
    <x v="496"/>
    <x v="496"/>
    <n v="1997102.21"/>
  </r>
  <r>
    <x v="6"/>
    <x v="12"/>
    <x v="62"/>
    <n v="76396150.010000005"/>
    <x v="497"/>
    <x v="497"/>
    <n v="488424.15"/>
  </r>
  <r>
    <x v="4"/>
    <x v="12"/>
    <x v="63"/>
    <n v="77341414.040000007"/>
    <x v="498"/>
    <x v="498"/>
    <n v="4799567.7"/>
  </r>
  <r>
    <x v="5"/>
    <x v="12"/>
    <x v="63"/>
    <n v="15754627.699999999"/>
    <x v="499"/>
    <x v="499"/>
    <n v="2324356.56"/>
  </r>
  <r>
    <x v="7"/>
    <x v="12"/>
    <x v="63"/>
    <n v="1880427.73"/>
    <x v="500"/>
    <x v="500"/>
    <n v="1769470.96"/>
  </r>
  <r>
    <x v="2"/>
    <x v="12"/>
    <x v="63"/>
    <n v="26962561.690000001"/>
    <x v="501"/>
    <x v="501"/>
    <n v="3987867.87"/>
  </r>
  <r>
    <x v="3"/>
    <x v="12"/>
    <x v="63"/>
    <n v="10353130.800000001"/>
    <x v="502"/>
    <x v="502"/>
    <n v="4298528.96"/>
  </r>
  <r>
    <x v="1"/>
    <x v="12"/>
    <x v="63"/>
    <n v="75056320.579999998"/>
    <x v="503"/>
    <x v="503"/>
    <n v="19853825.52"/>
  </r>
  <r>
    <x v="0"/>
    <x v="12"/>
    <x v="63"/>
    <n v="5238014.41"/>
    <x v="504"/>
    <x v="504"/>
    <n v="2684739.91"/>
  </r>
  <r>
    <x v="6"/>
    <x v="12"/>
    <x v="63"/>
    <n v="4887416.97"/>
    <x v="505"/>
    <x v="505"/>
    <n v="1438140.61"/>
  </r>
  <r>
    <x v="3"/>
    <x v="12"/>
    <x v="64"/>
    <n v="15607645.58"/>
    <x v="506"/>
    <x v="506"/>
    <n v="3875502.86"/>
  </r>
  <r>
    <x v="1"/>
    <x v="12"/>
    <x v="64"/>
    <n v="534949893.00999999"/>
    <x v="507"/>
    <x v="507"/>
    <n v="54507362.619999997"/>
  </r>
  <r>
    <x v="0"/>
    <x v="12"/>
    <x v="64"/>
    <n v="23119197.98"/>
    <x v="508"/>
    <x v="508"/>
    <n v="2946361.72"/>
  </r>
  <r>
    <x v="7"/>
    <x v="12"/>
    <x v="64"/>
    <n v="20068775.66"/>
    <x v="509"/>
    <x v="509"/>
    <n v="9769839.0999999996"/>
  </r>
  <r>
    <x v="4"/>
    <x v="12"/>
    <x v="64"/>
    <n v="35950546.759999998"/>
    <x v="510"/>
    <x v="510"/>
    <n v="944559.5"/>
  </r>
  <r>
    <x v="5"/>
    <x v="12"/>
    <x v="64"/>
    <n v="34283853.280000001"/>
    <x v="511"/>
    <x v="511"/>
    <n v="4195743.9400000004"/>
  </r>
  <r>
    <x v="6"/>
    <x v="12"/>
    <x v="64"/>
    <n v="17790041.5"/>
    <x v="512"/>
    <x v="512"/>
    <n v="1546975.67"/>
  </r>
  <r>
    <x v="2"/>
    <x v="12"/>
    <x v="64"/>
    <n v="29969918.920000002"/>
    <x v="513"/>
    <x v="513"/>
    <n v="5544085.5899999999"/>
  </r>
  <r>
    <x v="2"/>
    <x v="12"/>
    <x v="65"/>
    <n v="60342396.090000004"/>
    <x v="514"/>
    <x v="514"/>
    <n v="2923387.79"/>
  </r>
  <r>
    <x v="1"/>
    <x v="12"/>
    <x v="65"/>
    <n v="51940472.140000001"/>
    <x v="515"/>
    <x v="515"/>
    <n v="40718684.229999997"/>
  </r>
  <r>
    <x v="6"/>
    <x v="12"/>
    <x v="65"/>
    <n v="1923049.75"/>
    <x v="516"/>
    <x v="516"/>
    <n v="2079704.87"/>
  </r>
  <r>
    <x v="3"/>
    <x v="12"/>
    <x v="65"/>
    <n v="60549396.259999998"/>
    <x v="517"/>
    <x v="517"/>
    <n v="3611348.33"/>
  </r>
  <r>
    <x v="7"/>
    <x v="12"/>
    <x v="65"/>
    <n v="55088389.520000003"/>
    <x v="518"/>
    <x v="518"/>
    <n v="6876967.7599999998"/>
  </r>
  <r>
    <x v="4"/>
    <x v="12"/>
    <x v="65"/>
    <n v="73913175.629999995"/>
    <x v="519"/>
    <x v="519"/>
    <n v="1638717.88"/>
  </r>
  <r>
    <x v="5"/>
    <x v="12"/>
    <x v="65"/>
    <n v="63309331.090000004"/>
    <x v="520"/>
    <x v="520"/>
    <n v="1813302.65"/>
  </r>
  <r>
    <x v="0"/>
    <x v="12"/>
    <x v="65"/>
    <n v="71273291.230000004"/>
    <x v="521"/>
    <x v="521"/>
    <n v="1079802.73"/>
  </r>
  <r>
    <x v="1"/>
    <x v="12"/>
    <x v="66"/>
    <n v="310165468.29000002"/>
    <x v="522"/>
    <x v="522"/>
    <n v="23915858.77"/>
  </r>
  <r>
    <x v="5"/>
    <x v="12"/>
    <x v="66"/>
    <n v="30396958.59"/>
    <x v="523"/>
    <x v="523"/>
    <n v="945009.67"/>
  </r>
  <r>
    <x v="2"/>
    <x v="12"/>
    <x v="66"/>
    <n v="7220454.1600000001"/>
    <x v="524"/>
    <x v="524"/>
    <n v="2368012.48"/>
  </r>
  <r>
    <x v="0"/>
    <x v="12"/>
    <x v="66"/>
    <n v="7464170.9299999997"/>
    <x v="525"/>
    <x v="525"/>
    <n v="403072.85"/>
  </r>
  <r>
    <x v="6"/>
    <x v="12"/>
    <x v="66"/>
    <n v="2948216.9"/>
    <x v="526"/>
    <x v="526"/>
    <n v="1202657.83"/>
  </r>
  <r>
    <x v="7"/>
    <x v="12"/>
    <x v="66"/>
    <n v="3470011.64"/>
    <x v="527"/>
    <x v="527"/>
    <n v="3998850.81"/>
  </r>
  <r>
    <x v="3"/>
    <x v="12"/>
    <x v="66"/>
    <n v="2187751.7200000002"/>
    <x v="528"/>
    <x v="528"/>
    <n v="583305.47"/>
  </r>
  <r>
    <x v="4"/>
    <x v="12"/>
    <x v="66"/>
    <n v="4018054.27"/>
    <x v="529"/>
    <x v="529"/>
    <n v="890460.07"/>
  </r>
  <r>
    <x v="4"/>
    <x v="12"/>
    <x v="67"/>
    <n v="111175543.94"/>
    <x v="530"/>
    <x v="530"/>
    <n v="2574529.1800000002"/>
  </r>
  <r>
    <x v="6"/>
    <x v="12"/>
    <x v="67"/>
    <n v="4089736.27"/>
    <x v="531"/>
    <x v="531"/>
    <n v="1540028.18"/>
  </r>
  <r>
    <x v="0"/>
    <x v="12"/>
    <x v="67"/>
    <n v="15572530.52"/>
    <x v="532"/>
    <x v="532"/>
    <n v="1278959.43"/>
  </r>
  <r>
    <x v="7"/>
    <x v="12"/>
    <x v="67"/>
    <n v="9418231.5700000003"/>
    <x v="533"/>
    <x v="533"/>
    <n v="10406190.369999999"/>
  </r>
  <r>
    <x v="3"/>
    <x v="12"/>
    <x v="67"/>
    <n v="55598631.380000003"/>
    <x v="534"/>
    <x v="534"/>
    <n v="2826986.86"/>
  </r>
  <r>
    <x v="5"/>
    <x v="12"/>
    <x v="67"/>
    <n v="53044462.539999999"/>
    <x v="535"/>
    <x v="535"/>
    <n v="2121414.2000000002"/>
  </r>
  <r>
    <x v="2"/>
    <x v="12"/>
    <x v="67"/>
    <n v="27753717.140000001"/>
    <x v="536"/>
    <x v="536"/>
    <n v="4628270.79"/>
  </r>
  <r>
    <x v="1"/>
    <x v="12"/>
    <x v="67"/>
    <n v="1384433570.3499999"/>
    <x v="537"/>
    <x v="537"/>
    <n v="105616689.23"/>
  </r>
  <r>
    <x v="0"/>
    <x v="12"/>
    <x v="68"/>
    <n v="35704131.310000002"/>
    <x v="538"/>
    <x v="538"/>
    <n v="4014943.69"/>
  </r>
  <r>
    <x v="6"/>
    <x v="12"/>
    <x v="68"/>
    <n v="8907672.6600000001"/>
    <x v="539"/>
    <x v="539"/>
    <n v="3491311.4"/>
  </r>
  <r>
    <x v="1"/>
    <x v="12"/>
    <x v="68"/>
    <n v="23929971.879999999"/>
    <x v="540"/>
    <x v="540"/>
    <n v="18861666.09"/>
  </r>
  <r>
    <x v="7"/>
    <x v="12"/>
    <x v="68"/>
    <n v="27108349.640000001"/>
    <x v="541"/>
    <x v="541"/>
    <n v="2976705.83"/>
  </r>
  <r>
    <x v="5"/>
    <x v="12"/>
    <x v="68"/>
    <n v="31592872.199999999"/>
    <x v="542"/>
    <x v="542"/>
    <n v="3495870.93"/>
  </r>
  <r>
    <x v="3"/>
    <x v="12"/>
    <x v="68"/>
    <n v="30610570.870000001"/>
    <x v="543"/>
    <x v="543"/>
    <n v="6467150.4800000004"/>
  </r>
  <r>
    <x v="2"/>
    <x v="12"/>
    <x v="68"/>
    <n v="28462976.870000001"/>
    <x v="544"/>
    <x v="544"/>
    <n v="17478834.350000001"/>
  </r>
  <r>
    <x v="4"/>
    <x v="12"/>
    <x v="68"/>
    <n v="36776792.469999999"/>
    <x v="545"/>
    <x v="545"/>
    <n v="5716443.5"/>
  </r>
  <r>
    <x v="7"/>
    <x v="12"/>
    <x v="69"/>
    <n v="6417906.0599999996"/>
    <x v="546"/>
    <x v="546"/>
    <n v="2773849.68"/>
  </r>
  <r>
    <x v="1"/>
    <x v="12"/>
    <x v="69"/>
    <n v="338262445.75"/>
    <x v="547"/>
    <x v="547"/>
    <n v="25237193.190000001"/>
  </r>
  <r>
    <x v="6"/>
    <x v="12"/>
    <x v="69"/>
    <n v="9045624.9600000009"/>
    <x v="548"/>
    <x v="548"/>
    <n v="1343444.81"/>
  </r>
  <r>
    <x v="5"/>
    <x v="12"/>
    <x v="69"/>
    <n v="13506830.75"/>
    <x v="549"/>
    <x v="549"/>
    <n v="3191227.46"/>
  </r>
  <r>
    <x v="2"/>
    <x v="12"/>
    <x v="69"/>
    <n v="2089226.04"/>
    <x v="550"/>
    <x v="550"/>
    <n v="4134725.52"/>
  </r>
  <r>
    <x v="3"/>
    <x v="12"/>
    <x v="69"/>
    <n v="8873969.4600000009"/>
    <x v="551"/>
    <x v="551"/>
    <n v="1831460.4"/>
  </r>
  <r>
    <x v="0"/>
    <x v="12"/>
    <x v="69"/>
    <n v="7628303.3200000003"/>
    <x v="552"/>
    <x v="552"/>
    <n v="1151078.5"/>
  </r>
  <r>
    <x v="4"/>
    <x v="12"/>
    <x v="69"/>
    <n v="30523871.18"/>
    <x v="553"/>
    <x v="553"/>
    <n v="1853565.98"/>
  </r>
  <r>
    <x v="1"/>
    <x v="12"/>
    <x v="70"/>
    <n v="190283832.46000001"/>
    <x v="554"/>
    <x v="554"/>
    <n v="13122187.699999999"/>
  </r>
  <r>
    <x v="6"/>
    <x v="12"/>
    <x v="70"/>
    <n v="2982695.04"/>
    <x v="555"/>
    <x v="555"/>
    <n v="2098213.62"/>
  </r>
  <r>
    <x v="7"/>
    <x v="12"/>
    <x v="70"/>
    <n v="9522374.1300000008"/>
    <x v="556"/>
    <x v="556"/>
    <n v="1860551.43"/>
  </r>
  <r>
    <x v="2"/>
    <x v="12"/>
    <x v="70"/>
    <n v="-2724245.71"/>
    <x v="557"/>
    <x v="557"/>
    <n v="6289623.2800000003"/>
  </r>
  <r>
    <x v="4"/>
    <x v="12"/>
    <x v="70"/>
    <n v="3956012.4"/>
    <x v="558"/>
    <x v="558"/>
    <n v="5452181.71"/>
  </r>
  <r>
    <x v="0"/>
    <x v="12"/>
    <x v="70"/>
    <n v="953225.34"/>
    <x v="559"/>
    <x v="559"/>
    <n v="3932436.64"/>
  </r>
  <r>
    <x v="5"/>
    <x v="12"/>
    <x v="70"/>
    <n v="17195517.969999999"/>
    <x v="560"/>
    <x v="560"/>
    <n v="3063376"/>
  </r>
  <r>
    <x v="3"/>
    <x v="12"/>
    <x v="70"/>
    <n v="2136440.69"/>
    <x v="561"/>
    <x v="561"/>
    <n v="4954821.34"/>
  </r>
  <r>
    <x v="1"/>
    <x v="12"/>
    <x v="71"/>
    <n v="820849246.79999995"/>
    <x v="562"/>
    <x v="562"/>
    <n v="72479524.739999995"/>
  </r>
  <r>
    <x v="2"/>
    <x v="12"/>
    <x v="71"/>
    <n v="9256529.8499999996"/>
    <x v="563"/>
    <x v="563"/>
    <n v="6102727.8399999999"/>
  </r>
  <r>
    <x v="4"/>
    <x v="12"/>
    <x v="71"/>
    <n v="24132548.129999999"/>
    <x v="564"/>
    <x v="564"/>
    <n v="2441332.41"/>
  </r>
  <r>
    <x v="5"/>
    <x v="12"/>
    <x v="71"/>
    <n v="7942212.0300000003"/>
    <x v="565"/>
    <x v="565"/>
    <n v="1173330.22"/>
  </r>
  <r>
    <x v="7"/>
    <x v="12"/>
    <x v="71"/>
    <n v="5072343.71"/>
    <x v="566"/>
    <x v="566"/>
    <n v="6402029.4699999997"/>
  </r>
  <r>
    <x v="0"/>
    <x v="12"/>
    <x v="71"/>
    <n v="2813516.85"/>
    <x v="567"/>
    <x v="567"/>
    <n v="1378957.66"/>
  </r>
  <r>
    <x v="6"/>
    <x v="12"/>
    <x v="71"/>
    <n v="8721544.1500000004"/>
    <x v="568"/>
    <x v="568"/>
    <n v="469583.64"/>
  </r>
  <r>
    <x v="3"/>
    <x v="12"/>
    <x v="71"/>
    <n v="25822956.210000001"/>
    <x v="569"/>
    <x v="569"/>
    <n v="3282107.98"/>
  </r>
  <r>
    <x v="4"/>
    <x v="12"/>
    <x v="72"/>
    <n v="19908275.109999999"/>
    <x v="570"/>
    <x v="570"/>
    <n v="3488047.9"/>
  </r>
  <r>
    <x v="0"/>
    <x v="12"/>
    <x v="72"/>
    <n v="11022575.869999999"/>
    <x v="571"/>
    <x v="571"/>
    <n v="379588.7"/>
  </r>
  <r>
    <x v="2"/>
    <x v="12"/>
    <x v="72"/>
    <n v="20037816"/>
    <x v="572"/>
    <x v="572"/>
    <n v="7146298.4800000004"/>
  </r>
  <r>
    <x v="6"/>
    <x v="12"/>
    <x v="72"/>
    <n v="18147122.719999999"/>
    <x v="573"/>
    <x v="573"/>
    <n v="164937.51999999999"/>
  </r>
  <r>
    <x v="5"/>
    <x v="12"/>
    <x v="72"/>
    <n v="48290558.399999999"/>
    <x v="574"/>
    <x v="574"/>
    <n v="13816010.42"/>
  </r>
  <r>
    <x v="3"/>
    <x v="12"/>
    <x v="72"/>
    <n v="11697922.789999999"/>
    <x v="575"/>
    <x v="575"/>
    <n v="3894868.82"/>
  </r>
  <r>
    <x v="1"/>
    <x v="12"/>
    <x v="72"/>
    <n v="754193868.19000006"/>
    <x v="576"/>
    <x v="576"/>
    <n v="71803593.359999999"/>
  </r>
  <r>
    <x v="7"/>
    <x v="12"/>
    <x v="72"/>
    <n v="9192623.4900000002"/>
    <x v="577"/>
    <x v="577"/>
    <n v="4519715.32"/>
  </r>
  <r>
    <x v="1"/>
    <x v="12"/>
    <x v="73"/>
    <n v="324546490.39999998"/>
    <x v="578"/>
    <x v="578"/>
    <n v="20394782.629999999"/>
  </r>
  <r>
    <x v="2"/>
    <x v="12"/>
    <x v="73"/>
    <n v="4747259.51"/>
    <x v="579"/>
    <x v="579"/>
    <n v="4056525.25"/>
  </r>
  <r>
    <x v="4"/>
    <x v="12"/>
    <x v="73"/>
    <n v="27674809.449999999"/>
    <x v="580"/>
    <x v="580"/>
    <n v="787059.6"/>
  </r>
  <r>
    <x v="3"/>
    <x v="12"/>
    <x v="73"/>
    <n v="4103079.7"/>
    <x v="581"/>
    <x v="581"/>
    <n v="1186472.03"/>
  </r>
  <r>
    <x v="6"/>
    <x v="12"/>
    <x v="73"/>
    <n v="3051794.81"/>
    <x v="582"/>
    <x v="582"/>
    <n v="1180266.3700000001"/>
  </r>
  <r>
    <x v="7"/>
    <x v="12"/>
    <x v="73"/>
    <n v="2928195.54"/>
    <x v="583"/>
    <x v="583"/>
    <n v="2600447.02"/>
  </r>
  <r>
    <x v="0"/>
    <x v="12"/>
    <x v="73"/>
    <n v="8784543.5700000003"/>
    <x v="584"/>
    <x v="584"/>
    <n v="2092667.54"/>
  </r>
  <r>
    <x v="5"/>
    <x v="12"/>
    <x v="73"/>
    <n v="13568527.949999999"/>
    <x v="585"/>
    <x v="585"/>
    <n v="1160990.24"/>
  </r>
  <r>
    <x v="4"/>
    <x v="12"/>
    <x v="74"/>
    <n v="130220047.3"/>
    <x v="586"/>
    <x v="586"/>
    <n v="2938506.9"/>
  </r>
  <r>
    <x v="7"/>
    <x v="12"/>
    <x v="74"/>
    <n v="28963930.239999998"/>
    <x v="587"/>
    <x v="587"/>
    <n v="8129824.5700000003"/>
  </r>
  <r>
    <x v="6"/>
    <x v="12"/>
    <x v="74"/>
    <n v="42726314.740000002"/>
    <x v="588"/>
    <x v="588"/>
    <n v="586477.9"/>
  </r>
  <r>
    <x v="1"/>
    <x v="12"/>
    <x v="74"/>
    <n v="172712982.74000001"/>
    <x v="589"/>
    <x v="589"/>
    <n v="60321333.719999999"/>
  </r>
  <r>
    <x v="0"/>
    <x v="12"/>
    <x v="74"/>
    <n v="15738030.49"/>
    <x v="590"/>
    <x v="590"/>
    <n v="1946589.81"/>
  </r>
  <r>
    <x v="3"/>
    <x v="12"/>
    <x v="74"/>
    <n v="134347622.74000001"/>
    <x v="591"/>
    <x v="591"/>
    <n v="2160042.29"/>
  </r>
  <r>
    <x v="5"/>
    <x v="12"/>
    <x v="74"/>
    <n v="89439253.269999996"/>
    <x v="592"/>
    <x v="592"/>
    <n v="2717525.39"/>
  </r>
  <r>
    <x v="2"/>
    <x v="12"/>
    <x v="74"/>
    <n v="52392605.07"/>
    <x v="593"/>
    <x v="593"/>
    <n v="11409393.43"/>
  </r>
  <r>
    <x v="4"/>
    <x v="12"/>
    <x v="75"/>
    <n v="14299171.949999999"/>
    <x v="594"/>
    <x v="594"/>
    <n v="2871105.05"/>
  </r>
  <r>
    <x v="3"/>
    <x v="12"/>
    <x v="75"/>
    <n v="5909192.1399999997"/>
    <x v="595"/>
    <x v="595"/>
    <n v="3718748.15"/>
  </r>
  <r>
    <x v="5"/>
    <x v="12"/>
    <x v="75"/>
    <n v="11680343.32"/>
    <x v="596"/>
    <x v="596"/>
    <n v="4163328.44"/>
  </r>
  <r>
    <x v="2"/>
    <x v="12"/>
    <x v="75"/>
    <n v="5354280"/>
    <x v="597"/>
    <x v="597"/>
    <n v="11015588.939999999"/>
  </r>
  <r>
    <x v="1"/>
    <x v="12"/>
    <x v="75"/>
    <n v="348562132.38999999"/>
    <x v="598"/>
    <x v="598"/>
    <n v="31220444.629999999"/>
  </r>
  <r>
    <x v="7"/>
    <x v="12"/>
    <x v="75"/>
    <n v="5665706.0899999999"/>
    <x v="599"/>
    <x v="599"/>
    <n v="3184066.42"/>
  </r>
  <r>
    <x v="6"/>
    <x v="12"/>
    <x v="75"/>
    <n v="11208629.130000001"/>
    <x v="600"/>
    <x v="600"/>
    <n v="4629600.5"/>
  </r>
  <r>
    <x v="0"/>
    <x v="12"/>
    <x v="75"/>
    <n v="819535.2"/>
    <x v="601"/>
    <x v="601"/>
    <n v="2482521.2400000002"/>
  </r>
  <r>
    <x v="1"/>
    <x v="12"/>
    <x v="76"/>
    <n v="166130997.62"/>
    <x v="602"/>
    <x v="602"/>
    <n v="13183526.33"/>
  </r>
  <r>
    <x v="7"/>
    <x v="12"/>
    <x v="76"/>
    <n v="8204977.4000000004"/>
    <x v="603"/>
    <x v="603"/>
    <n v="5412332.46"/>
  </r>
  <r>
    <x v="5"/>
    <x v="12"/>
    <x v="76"/>
    <n v="10523824.550000001"/>
    <x v="604"/>
    <x v="604"/>
    <n v="1815335.52"/>
  </r>
  <r>
    <x v="0"/>
    <x v="12"/>
    <x v="76"/>
    <n v="5159124.92"/>
    <x v="605"/>
    <x v="605"/>
    <n v="1305134.53"/>
  </r>
  <r>
    <x v="2"/>
    <x v="12"/>
    <x v="76"/>
    <n v="17659012.710000001"/>
    <x v="606"/>
    <x v="606"/>
    <n v="3651286.59"/>
  </r>
  <r>
    <x v="4"/>
    <x v="12"/>
    <x v="76"/>
    <n v="10376991.42"/>
    <x v="607"/>
    <x v="607"/>
    <n v="1331178.25"/>
  </r>
  <r>
    <x v="3"/>
    <x v="12"/>
    <x v="76"/>
    <n v="10048047.859999999"/>
    <x v="608"/>
    <x v="608"/>
    <n v="1929996.94"/>
  </r>
  <r>
    <x v="6"/>
    <x v="12"/>
    <x v="76"/>
    <n v="6670015.2699999996"/>
    <x v="609"/>
    <x v="609"/>
    <n v="1793421.65"/>
  </r>
  <r>
    <x v="6"/>
    <x v="15"/>
    <x v="77"/>
    <n v="0"/>
    <x v="610"/>
    <x v="610"/>
    <n v="0"/>
  </r>
  <r>
    <x v="0"/>
    <x v="15"/>
    <x v="77"/>
    <n v="0"/>
    <x v="611"/>
    <x v="611"/>
    <n v="0"/>
  </r>
  <r>
    <x v="4"/>
    <x v="15"/>
    <x v="77"/>
    <n v="0"/>
    <x v="612"/>
    <x v="612"/>
    <n v="0"/>
  </r>
  <r>
    <x v="1"/>
    <x v="15"/>
    <x v="77"/>
    <n v="4413485665"/>
    <x v="613"/>
    <x v="613"/>
    <n v="0"/>
  </r>
  <r>
    <x v="7"/>
    <x v="15"/>
    <x v="77"/>
    <n v="0"/>
    <x v="614"/>
    <x v="614"/>
    <n v="195346995.74000001"/>
  </r>
  <r>
    <x v="3"/>
    <x v="15"/>
    <x v="77"/>
    <n v="-1436803433.72"/>
    <x v="615"/>
    <x v="615"/>
    <n v="0"/>
  </r>
  <r>
    <x v="7"/>
    <x v="15"/>
    <x v="78"/>
    <n v="0"/>
    <x v="616"/>
    <x v="616"/>
    <n v="619904405.26999998"/>
  </r>
  <r>
    <x v="3"/>
    <x v="15"/>
    <x v="78"/>
    <n v="329550192"/>
    <x v="617"/>
    <x v="617"/>
    <n v="0"/>
  </r>
  <r>
    <x v="0"/>
    <x v="15"/>
    <x v="78"/>
    <n v="0"/>
    <x v="618"/>
    <x v="618"/>
    <n v="0"/>
  </r>
  <r>
    <x v="6"/>
    <x v="15"/>
    <x v="78"/>
    <n v="0"/>
    <x v="619"/>
    <x v="619"/>
    <n v="0"/>
  </r>
  <r>
    <x v="4"/>
    <x v="15"/>
    <x v="78"/>
    <n v="0"/>
    <x v="620"/>
    <x v="620"/>
    <n v="0"/>
  </r>
  <r>
    <x v="1"/>
    <x v="15"/>
    <x v="78"/>
    <n v="13240456988"/>
    <x v="329"/>
    <x v="329"/>
    <n v="0"/>
  </r>
  <r>
    <x v="7"/>
    <x v="15"/>
    <x v="79"/>
    <n v="0"/>
    <x v="621"/>
    <x v="621"/>
    <n v="-128386737.17"/>
  </r>
  <r>
    <x v="2"/>
    <x v="15"/>
    <x v="79"/>
    <n v="0"/>
    <x v="622"/>
    <x v="622"/>
    <n v="-195346995.74000001"/>
  </r>
  <r>
    <x v="1"/>
    <x v="15"/>
    <x v="79"/>
    <n v="4413485665"/>
    <x v="623"/>
    <x v="623"/>
    <n v="390693991.48000002"/>
  </r>
  <r>
    <x v="4"/>
    <x v="15"/>
    <x v="79"/>
    <n v="0"/>
    <x v="612"/>
    <x v="612"/>
    <n v="0"/>
  </r>
  <r>
    <x v="3"/>
    <x v="15"/>
    <x v="79"/>
    <n v="109850064"/>
    <x v="615"/>
    <x v="615"/>
    <n v="0"/>
  </r>
  <r>
    <x v="6"/>
    <x v="15"/>
    <x v="79"/>
    <n v="0"/>
    <x v="610"/>
    <x v="610"/>
    <n v="0"/>
  </r>
  <r>
    <x v="0"/>
    <x v="15"/>
    <x v="79"/>
    <n v="0"/>
    <x v="611"/>
    <x v="611"/>
    <n v="0"/>
  </r>
  <r>
    <x v="1"/>
    <x v="13"/>
    <x v="80"/>
    <n v="2469568342.7600002"/>
    <x v="624"/>
    <x v="624"/>
    <n v="251546712.84"/>
  </r>
  <r>
    <x v="4"/>
    <x v="13"/>
    <x v="80"/>
    <n v="1836867433.54"/>
    <x v="625"/>
    <x v="625"/>
    <n v="9318240.8300000001"/>
  </r>
  <r>
    <x v="7"/>
    <x v="13"/>
    <x v="80"/>
    <n v="1922355276.01"/>
    <x v="626"/>
    <x v="626"/>
    <n v="72500973.200000003"/>
  </r>
  <r>
    <x v="3"/>
    <x v="13"/>
    <x v="80"/>
    <n v="2152957390.98"/>
    <x v="627"/>
    <x v="627"/>
    <n v="19303248.23"/>
  </r>
  <r>
    <x v="5"/>
    <x v="13"/>
    <x v="80"/>
    <n v="1864830777.24"/>
    <x v="628"/>
    <x v="628"/>
    <n v="15514086.24"/>
  </r>
  <r>
    <x v="0"/>
    <x v="13"/>
    <x v="80"/>
    <n v="1731240680.6700001"/>
    <x v="629"/>
    <x v="629"/>
    <n v="9206159.7200000007"/>
  </r>
  <r>
    <x v="6"/>
    <x v="13"/>
    <x v="80"/>
    <n v="92653198.200000003"/>
    <x v="630"/>
    <x v="630"/>
    <n v="1539146.7"/>
  </r>
  <r>
    <x v="2"/>
    <x v="13"/>
    <x v="80"/>
    <n v="1634706744.23"/>
    <x v="631"/>
    <x v="631"/>
    <n v="37531129.780000001"/>
  </r>
  <r>
    <x v="7"/>
    <x v="2"/>
    <x v="81"/>
    <n v="49228.72"/>
    <x v="632"/>
    <x v="632"/>
    <n v="327.19"/>
  </r>
  <r>
    <x v="6"/>
    <x v="2"/>
    <x v="81"/>
    <n v="104113966.03"/>
    <x v="633"/>
    <x v="633"/>
    <n v="0"/>
  </r>
  <r>
    <x v="4"/>
    <x v="2"/>
    <x v="81"/>
    <n v="63121745.450000003"/>
    <x v="634"/>
    <x v="634"/>
    <n v="0"/>
  </r>
  <r>
    <x v="1"/>
    <x v="2"/>
    <x v="81"/>
    <n v="14963.7"/>
    <x v="635"/>
    <x v="635"/>
    <n v="399319.29"/>
  </r>
  <r>
    <x v="3"/>
    <x v="2"/>
    <x v="81"/>
    <n v="91807915"/>
    <x v="636"/>
    <x v="636"/>
    <n v="0"/>
  </r>
  <r>
    <x v="0"/>
    <x v="2"/>
    <x v="81"/>
    <n v="28626861.129999999"/>
    <x v="637"/>
    <x v="637"/>
    <n v="150589.82999999999"/>
  </r>
  <r>
    <x v="2"/>
    <x v="2"/>
    <x v="81"/>
    <n v="5735160.7300000004"/>
    <x v="638"/>
    <x v="638"/>
    <n v="0"/>
  </r>
  <r>
    <x v="5"/>
    <x v="2"/>
    <x v="81"/>
    <n v="29619043.469999999"/>
    <x v="639"/>
    <x v="639"/>
    <n v="0"/>
  </r>
  <r>
    <x v="4"/>
    <x v="23"/>
    <x v="82"/>
    <n v="9923321140.2199993"/>
    <x v="640"/>
    <x v="640"/>
    <n v="34334325.219999999"/>
  </r>
  <r>
    <x v="2"/>
    <x v="23"/>
    <x v="82"/>
    <n v="9586557949.7800007"/>
    <x v="641"/>
    <x v="641"/>
    <n v="22232836.600000001"/>
  </r>
  <r>
    <x v="7"/>
    <x v="23"/>
    <x v="82"/>
    <n v="9402009643.8299999"/>
    <x v="642"/>
    <x v="642"/>
    <n v="87937408.879999995"/>
  </r>
  <r>
    <x v="3"/>
    <x v="23"/>
    <x v="82"/>
    <n v="10560199868.709999"/>
    <x v="643"/>
    <x v="643"/>
    <n v="132510870.98999999"/>
  </r>
  <r>
    <x v="0"/>
    <x v="23"/>
    <x v="82"/>
    <n v="10473299739.67"/>
    <x v="644"/>
    <x v="644"/>
    <n v="34368368.049999997"/>
  </r>
  <r>
    <x v="6"/>
    <x v="23"/>
    <x v="82"/>
    <n v="4139063969.6700001"/>
    <x v="645"/>
    <x v="645"/>
    <n v="1695650.53"/>
  </r>
  <r>
    <x v="5"/>
    <x v="23"/>
    <x v="82"/>
    <n v="10369051541.639999"/>
    <x v="646"/>
    <x v="646"/>
    <n v="8021800.5499999998"/>
  </r>
  <r>
    <x v="1"/>
    <x v="23"/>
    <x v="82"/>
    <n v="2688546582.04"/>
    <x v="647"/>
    <x v="647"/>
    <n v="3190492728.3800001"/>
  </r>
  <r>
    <x v="3"/>
    <x v="13"/>
    <x v="83"/>
    <n v="47775592.850000001"/>
    <x v="648"/>
    <x v="648"/>
    <n v="0"/>
  </r>
  <r>
    <x v="5"/>
    <x v="13"/>
    <x v="83"/>
    <n v="0"/>
    <x v="329"/>
    <x v="329"/>
    <n v="11954520.02"/>
  </r>
  <r>
    <x v="7"/>
    <x v="13"/>
    <x v="83"/>
    <n v="17637997.57"/>
    <x v="649"/>
    <x v="649"/>
    <n v="26875400.640000001"/>
  </r>
  <r>
    <x v="2"/>
    <x v="13"/>
    <x v="83"/>
    <n v="30594643.25"/>
    <x v="650"/>
    <x v="650"/>
    <n v="0"/>
  </r>
  <r>
    <x v="1"/>
    <x v="13"/>
    <x v="83"/>
    <n v="18595572.66"/>
    <x v="651"/>
    <x v="651"/>
    <n v="0"/>
  </r>
  <r>
    <x v="4"/>
    <x v="13"/>
    <x v="83"/>
    <n v="73248205.549999997"/>
    <x v="652"/>
    <x v="652"/>
    <n v="0"/>
  </r>
  <r>
    <x v="0"/>
    <x v="19"/>
    <x v="84"/>
    <n v="6375469000"/>
    <x v="653"/>
    <x v="653"/>
    <n v="0"/>
  </r>
  <r>
    <x v="7"/>
    <x v="19"/>
    <x v="84"/>
    <n v="40000"/>
    <x v="654"/>
    <x v="654"/>
    <n v="128204192.86"/>
  </r>
  <r>
    <x v="1"/>
    <x v="19"/>
    <x v="84"/>
    <n v="0"/>
    <x v="329"/>
    <x v="329"/>
    <n v="48559772.479999997"/>
  </r>
  <r>
    <x v="2"/>
    <x v="19"/>
    <x v="84"/>
    <n v="70000"/>
    <x v="655"/>
    <x v="655"/>
    <n v="53127619"/>
  </r>
  <r>
    <x v="4"/>
    <x v="19"/>
    <x v="84"/>
    <n v="0"/>
    <x v="656"/>
    <x v="656"/>
    <n v="97679610.280000001"/>
  </r>
  <r>
    <x v="5"/>
    <x v="19"/>
    <x v="84"/>
    <n v="0"/>
    <x v="657"/>
    <x v="657"/>
    <n v="37902641.409999996"/>
  </r>
  <r>
    <x v="6"/>
    <x v="19"/>
    <x v="84"/>
    <n v="44305.13"/>
    <x v="658"/>
    <x v="658"/>
    <n v="0"/>
  </r>
  <r>
    <x v="3"/>
    <x v="19"/>
    <x v="84"/>
    <n v="100000"/>
    <x v="659"/>
    <x v="659"/>
    <n v="124349961.44"/>
  </r>
  <r>
    <x v="2"/>
    <x v="10"/>
    <x v="85"/>
    <n v="0"/>
    <x v="329"/>
    <x v="329"/>
    <n v="79448.05"/>
  </r>
  <r>
    <x v="1"/>
    <x v="10"/>
    <x v="85"/>
    <n v="0"/>
    <x v="329"/>
    <x v="329"/>
    <n v="2510571.42"/>
  </r>
  <r>
    <x v="3"/>
    <x v="10"/>
    <x v="85"/>
    <n v="0"/>
    <x v="329"/>
    <x v="329"/>
    <n v="38140"/>
  </r>
  <r>
    <x v="7"/>
    <x v="10"/>
    <x v="85"/>
    <n v="0"/>
    <x v="329"/>
    <x v="329"/>
    <n v="3216534.89"/>
  </r>
  <r>
    <x v="6"/>
    <x v="10"/>
    <x v="85"/>
    <n v="0"/>
    <x v="329"/>
    <x v="329"/>
    <n v="3001572.93"/>
  </r>
  <r>
    <x v="5"/>
    <x v="10"/>
    <x v="85"/>
    <n v="0"/>
    <x v="329"/>
    <x v="329"/>
    <n v="1272354.8999999999"/>
  </r>
  <r>
    <x v="6"/>
    <x v="15"/>
    <x v="86"/>
    <n v="0"/>
    <x v="329"/>
    <x v="329"/>
    <n v="4773600"/>
  </r>
  <r>
    <x v="5"/>
    <x v="15"/>
    <x v="86"/>
    <n v="0"/>
    <x v="329"/>
    <x v="329"/>
    <n v="6134047.96"/>
  </r>
  <r>
    <x v="2"/>
    <x v="15"/>
    <x v="86"/>
    <n v="0"/>
    <x v="329"/>
    <x v="329"/>
    <n v="61448392.119999997"/>
  </r>
  <r>
    <x v="4"/>
    <x v="15"/>
    <x v="86"/>
    <n v="0"/>
    <x v="329"/>
    <x v="329"/>
    <n v="12254322.210000001"/>
  </r>
  <r>
    <x v="6"/>
    <x v="15"/>
    <x v="87"/>
    <n v="0"/>
    <x v="329"/>
    <x v="329"/>
    <n v="128693778.48999999"/>
  </r>
  <r>
    <x v="0"/>
    <x v="15"/>
    <x v="87"/>
    <n v="0"/>
    <x v="329"/>
    <x v="329"/>
    <n v="42447238.710000001"/>
  </r>
  <r>
    <x v="4"/>
    <x v="15"/>
    <x v="87"/>
    <n v="0"/>
    <x v="329"/>
    <x v="329"/>
    <n v="46819752.030000001"/>
  </r>
  <r>
    <x v="5"/>
    <x v="15"/>
    <x v="87"/>
    <n v="423628746.22000003"/>
    <x v="329"/>
    <x v="329"/>
    <n v="181259003.27000001"/>
  </r>
  <r>
    <x v="3"/>
    <x v="15"/>
    <x v="87"/>
    <n v="-157353594.30000001"/>
    <x v="329"/>
    <x v="329"/>
    <n v="0"/>
  </r>
  <r>
    <x v="1"/>
    <x v="15"/>
    <x v="87"/>
    <n v="0"/>
    <x v="329"/>
    <x v="329"/>
    <n v="4124619.91"/>
  </r>
  <r>
    <x v="7"/>
    <x v="15"/>
    <x v="87"/>
    <n v="0"/>
    <x v="329"/>
    <x v="329"/>
    <n v="190343054.36000001"/>
  </r>
  <r>
    <x v="2"/>
    <x v="15"/>
    <x v="87"/>
    <n v="164682172.91999999"/>
    <x v="329"/>
    <x v="329"/>
    <n v="239267701.81"/>
  </r>
  <r>
    <x v="6"/>
    <x v="13"/>
    <x v="88"/>
    <n v="0"/>
    <x v="329"/>
    <x v="660"/>
    <n v="0"/>
  </r>
  <r>
    <x v="2"/>
    <x v="13"/>
    <x v="88"/>
    <n v="430914.84"/>
    <x v="660"/>
    <x v="661"/>
    <n v="0"/>
  </r>
  <r>
    <x v="4"/>
    <x v="13"/>
    <x v="88"/>
    <n v="430904.47"/>
    <x v="661"/>
    <x v="662"/>
    <n v="0"/>
  </r>
  <r>
    <x v="5"/>
    <x v="13"/>
    <x v="88"/>
    <n v="430911.5"/>
    <x v="662"/>
    <x v="663"/>
    <n v="0"/>
  </r>
  <r>
    <x v="0"/>
    <x v="13"/>
    <x v="88"/>
    <n v="19205271.030000001"/>
    <x v="663"/>
    <x v="664"/>
    <n v="0"/>
  </r>
  <r>
    <x v="1"/>
    <x v="13"/>
    <x v="88"/>
    <n v="861843.62"/>
    <x v="664"/>
    <x v="329"/>
    <n v="399163.97"/>
  </r>
  <r>
    <x v="3"/>
    <x v="13"/>
    <x v="88"/>
    <n v="468257.89"/>
    <x v="665"/>
    <x v="665"/>
    <n v="0"/>
  </r>
  <r>
    <x v="7"/>
    <x v="13"/>
    <x v="88"/>
    <n v="-3.37"/>
    <x v="666"/>
    <x v="666"/>
    <n v="0"/>
  </r>
  <r>
    <x v="4"/>
    <x v="13"/>
    <x v="89"/>
    <n v="349333802.97000003"/>
    <x v="667"/>
    <x v="667"/>
    <n v="3012335.87"/>
  </r>
  <r>
    <x v="7"/>
    <x v="13"/>
    <x v="89"/>
    <n v="10924521.49"/>
    <x v="668"/>
    <x v="668"/>
    <n v="236478887.18000001"/>
  </r>
  <r>
    <x v="3"/>
    <x v="13"/>
    <x v="89"/>
    <n v="12251011.859999999"/>
    <x v="669"/>
    <x v="669"/>
    <n v="0"/>
  </r>
  <r>
    <x v="5"/>
    <x v="13"/>
    <x v="89"/>
    <n v="44211350.659999996"/>
    <x v="670"/>
    <x v="670"/>
    <n v="407849.26"/>
  </r>
  <r>
    <x v="1"/>
    <x v="13"/>
    <x v="89"/>
    <n v="0"/>
    <x v="329"/>
    <x v="329"/>
    <n v="19010052.09"/>
  </r>
  <r>
    <x v="6"/>
    <x v="13"/>
    <x v="89"/>
    <n v="32617429.960000001"/>
    <x v="671"/>
    <x v="671"/>
    <n v="0"/>
  </r>
  <r>
    <x v="2"/>
    <x v="13"/>
    <x v="89"/>
    <n v="42928928.810000002"/>
    <x v="672"/>
    <x v="672"/>
    <n v="42786541.630000003"/>
  </r>
  <r>
    <x v="0"/>
    <x v="13"/>
    <x v="89"/>
    <n v="7711510.8799999999"/>
    <x v="673"/>
    <x v="673"/>
    <n v="0"/>
  </r>
  <r>
    <x v="5"/>
    <x v="18"/>
    <x v="90"/>
    <n v="9270765.9700000007"/>
    <x v="674"/>
    <x v="674"/>
    <n v="5819.81"/>
  </r>
  <r>
    <x v="4"/>
    <x v="18"/>
    <x v="90"/>
    <n v="709827.27"/>
    <x v="675"/>
    <x v="675"/>
    <n v="41044.160000000003"/>
  </r>
  <r>
    <x v="3"/>
    <x v="18"/>
    <x v="90"/>
    <n v="21492229.260000002"/>
    <x v="676"/>
    <x v="676"/>
    <n v="352150.55"/>
  </r>
  <r>
    <x v="0"/>
    <x v="18"/>
    <x v="90"/>
    <n v="3053242.84"/>
    <x v="677"/>
    <x v="677"/>
    <n v="425777"/>
  </r>
  <r>
    <x v="1"/>
    <x v="18"/>
    <x v="90"/>
    <n v="1665561.63"/>
    <x v="678"/>
    <x v="678"/>
    <n v="4834999.47"/>
  </r>
  <r>
    <x v="6"/>
    <x v="18"/>
    <x v="90"/>
    <n v="2583587.36"/>
    <x v="679"/>
    <x v="679"/>
    <n v="6706441.8399999999"/>
  </r>
  <r>
    <x v="7"/>
    <x v="18"/>
    <x v="90"/>
    <n v="8010174.0899999999"/>
    <x v="680"/>
    <x v="680"/>
    <n v="3213780.84"/>
  </r>
  <r>
    <x v="2"/>
    <x v="18"/>
    <x v="90"/>
    <n v="3066755.2"/>
    <x v="681"/>
    <x v="681"/>
    <n v="453295.97"/>
  </r>
  <r>
    <x v="0"/>
    <x v="16"/>
    <x v="91"/>
    <n v="126410742.25"/>
    <x v="682"/>
    <x v="682"/>
    <n v="129533119.43000001"/>
  </r>
  <r>
    <x v="1"/>
    <x v="16"/>
    <x v="91"/>
    <n v="0"/>
    <x v="329"/>
    <x v="329"/>
    <n v="4982279.03"/>
  </r>
  <r>
    <x v="6"/>
    <x v="16"/>
    <x v="91"/>
    <n v="133000000"/>
    <x v="683"/>
    <x v="683"/>
    <n v="0"/>
  </r>
  <r>
    <x v="5"/>
    <x v="9"/>
    <x v="92"/>
    <n v="207542959.55000001"/>
    <x v="684"/>
    <x v="684"/>
    <n v="31809373.969999999"/>
  </r>
  <r>
    <x v="7"/>
    <x v="9"/>
    <x v="92"/>
    <n v="164920760.59"/>
    <x v="685"/>
    <x v="685"/>
    <n v="118270513.51000001"/>
  </r>
  <r>
    <x v="6"/>
    <x v="9"/>
    <x v="92"/>
    <n v="198325273.43000001"/>
    <x v="686"/>
    <x v="686"/>
    <n v="6079736.5899999999"/>
  </r>
  <r>
    <x v="3"/>
    <x v="9"/>
    <x v="92"/>
    <n v="266602680.40000001"/>
    <x v="687"/>
    <x v="687"/>
    <n v="16944619.609999999"/>
  </r>
  <r>
    <x v="1"/>
    <x v="9"/>
    <x v="92"/>
    <n v="253304153.44999999"/>
    <x v="688"/>
    <x v="688"/>
    <n v="57985171.630000003"/>
  </r>
  <r>
    <x v="0"/>
    <x v="9"/>
    <x v="92"/>
    <n v="191567895.47999999"/>
    <x v="689"/>
    <x v="689"/>
    <n v="8519605.9499999993"/>
  </r>
  <r>
    <x v="2"/>
    <x v="9"/>
    <x v="92"/>
    <n v="227058728.58000001"/>
    <x v="690"/>
    <x v="690"/>
    <n v="158826342.49000001"/>
  </r>
  <r>
    <x v="4"/>
    <x v="9"/>
    <x v="92"/>
    <n v="254850403.36000001"/>
    <x v="691"/>
    <x v="691"/>
    <n v="14113371.16"/>
  </r>
  <r>
    <x v="0"/>
    <x v="25"/>
    <x v="93"/>
    <n v="148692057191.69"/>
    <x v="692"/>
    <x v="692"/>
    <n v="309260.07"/>
  </r>
  <r>
    <x v="4"/>
    <x v="25"/>
    <x v="93"/>
    <n v="128521710555"/>
    <x v="693"/>
    <x v="693"/>
    <n v="4473346.8099999996"/>
  </r>
  <r>
    <x v="6"/>
    <x v="25"/>
    <x v="93"/>
    <n v="36944697058"/>
    <x v="694"/>
    <x v="694"/>
    <n v="862348.89"/>
  </r>
  <r>
    <x v="1"/>
    <x v="25"/>
    <x v="93"/>
    <n v="369588411200"/>
    <x v="695"/>
    <x v="695"/>
    <n v="47982836379.339996"/>
  </r>
  <r>
    <x v="7"/>
    <x v="25"/>
    <x v="93"/>
    <n v="4437024703.1499996"/>
    <x v="696"/>
    <x v="696"/>
    <n v="494301806.67000002"/>
  </r>
  <r>
    <x v="2"/>
    <x v="25"/>
    <x v="93"/>
    <n v="2365015.87"/>
    <x v="697"/>
    <x v="697"/>
    <n v="51833.17"/>
  </r>
  <r>
    <x v="5"/>
    <x v="25"/>
    <x v="93"/>
    <n v="13289048.779999999"/>
    <x v="698"/>
    <x v="698"/>
    <n v="529893.41"/>
  </r>
  <r>
    <x v="3"/>
    <x v="25"/>
    <x v="93"/>
    <n v="-88682431.010000005"/>
    <x v="699"/>
    <x v="699"/>
    <n v="2416692.19"/>
  </r>
  <r>
    <x v="4"/>
    <x v="26"/>
    <x v="94"/>
    <n v="0"/>
    <x v="700"/>
    <x v="700"/>
    <n v="0"/>
  </r>
  <r>
    <x v="3"/>
    <x v="26"/>
    <x v="94"/>
    <n v="23650000"/>
    <x v="329"/>
    <x v="329"/>
    <n v="3821747.18"/>
  </r>
  <r>
    <x v="2"/>
    <x v="26"/>
    <x v="94"/>
    <n v="0"/>
    <x v="329"/>
    <x v="329"/>
    <n v="90118187.709999993"/>
  </r>
  <r>
    <x v="6"/>
    <x v="26"/>
    <x v="94"/>
    <n v="0"/>
    <x v="701"/>
    <x v="329"/>
    <n v="3967479.53"/>
  </r>
  <r>
    <x v="5"/>
    <x v="26"/>
    <x v="94"/>
    <n v="47300000"/>
    <x v="329"/>
    <x v="329"/>
    <n v="24032831.129999999"/>
  </r>
  <r>
    <x v="7"/>
    <x v="26"/>
    <x v="94"/>
    <n v="0"/>
    <x v="329"/>
    <x v="329"/>
    <n v="152675484.78"/>
  </r>
  <r>
    <x v="0"/>
    <x v="26"/>
    <x v="94"/>
    <n v="201024999.99000001"/>
    <x v="702"/>
    <x v="701"/>
    <n v="61404592"/>
  </r>
  <r>
    <x v="6"/>
    <x v="10"/>
    <x v="95"/>
    <n v="101002.1"/>
    <x v="703"/>
    <x v="702"/>
    <n v="101300"/>
  </r>
  <r>
    <x v="2"/>
    <x v="10"/>
    <x v="95"/>
    <n v="0"/>
    <x v="704"/>
    <x v="703"/>
    <n v="2151599.3199999998"/>
  </r>
  <r>
    <x v="4"/>
    <x v="10"/>
    <x v="95"/>
    <n v="2605865.12"/>
    <x v="705"/>
    <x v="704"/>
    <n v="478539.44"/>
  </r>
  <r>
    <x v="1"/>
    <x v="10"/>
    <x v="95"/>
    <n v="90000"/>
    <x v="329"/>
    <x v="329"/>
    <n v="27660"/>
  </r>
  <r>
    <x v="0"/>
    <x v="10"/>
    <x v="95"/>
    <n v="16773925.109999999"/>
    <x v="706"/>
    <x v="705"/>
    <n v="25842.720000000001"/>
  </r>
  <r>
    <x v="3"/>
    <x v="10"/>
    <x v="95"/>
    <n v="110000"/>
    <x v="707"/>
    <x v="706"/>
    <n v="776290.16"/>
  </r>
  <r>
    <x v="5"/>
    <x v="10"/>
    <x v="95"/>
    <n v="868805.11"/>
    <x v="708"/>
    <x v="707"/>
    <n v="1691800.61"/>
  </r>
  <r>
    <x v="7"/>
    <x v="10"/>
    <x v="95"/>
    <n v="572628.06999999995"/>
    <x v="709"/>
    <x v="708"/>
    <n v="1463206.12"/>
  </r>
  <r>
    <x v="0"/>
    <x v="27"/>
    <x v="96"/>
    <n v="360340441.19999999"/>
    <x v="710"/>
    <x v="709"/>
    <n v="131452499.26000001"/>
  </r>
  <r>
    <x v="1"/>
    <x v="27"/>
    <x v="96"/>
    <n v="0"/>
    <x v="329"/>
    <x v="329"/>
    <n v="2662229.2799999998"/>
  </r>
  <r>
    <x v="3"/>
    <x v="27"/>
    <x v="96"/>
    <n v="509475018.92000002"/>
    <x v="711"/>
    <x v="710"/>
    <n v="129401.22"/>
  </r>
  <r>
    <x v="2"/>
    <x v="27"/>
    <x v="96"/>
    <n v="406170744.74000001"/>
    <x v="712"/>
    <x v="711"/>
    <n v="84192299.689999998"/>
  </r>
  <r>
    <x v="6"/>
    <x v="27"/>
    <x v="96"/>
    <n v="140640589.41999999"/>
    <x v="713"/>
    <x v="712"/>
    <n v="2714693.38"/>
  </r>
  <r>
    <x v="7"/>
    <x v="27"/>
    <x v="96"/>
    <n v="170158815.09"/>
    <x v="714"/>
    <x v="713"/>
    <n v="74582074.790000007"/>
  </r>
  <r>
    <x v="4"/>
    <x v="27"/>
    <x v="96"/>
    <n v="664927092.61000001"/>
    <x v="715"/>
    <x v="714"/>
    <n v="251854.57"/>
  </r>
  <r>
    <x v="5"/>
    <x v="27"/>
    <x v="96"/>
    <n v="491298466.63"/>
    <x v="716"/>
    <x v="715"/>
    <n v="31767465.789999999"/>
  </r>
  <r>
    <x v="2"/>
    <x v="2"/>
    <x v="97"/>
    <n v="23599541.149999999"/>
    <x v="717"/>
    <x v="716"/>
    <n v="130104.79"/>
  </r>
  <r>
    <x v="4"/>
    <x v="2"/>
    <x v="97"/>
    <n v="-2436000"/>
    <x v="718"/>
    <x v="717"/>
    <n v="2665109.48"/>
  </r>
  <r>
    <x v="5"/>
    <x v="2"/>
    <x v="97"/>
    <n v="28485329"/>
    <x v="719"/>
    <x v="718"/>
    <n v="2982066.82"/>
  </r>
  <r>
    <x v="3"/>
    <x v="2"/>
    <x v="97"/>
    <n v="41307184.460000001"/>
    <x v="720"/>
    <x v="719"/>
    <n v="3661012.38"/>
  </r>
  <r>
    <x v="0"/>
    <x v="2"/>
    <x v="97"/>
    <n v="10077969"/>
    <x v="721"/>
    <x v="720"/>
    <n v="20107.560000000001"/>
  </r>
  <r>
    <x v="0"/>
    <x v="7"/>
    <x v="98"/>
    <n v="2057302"/>
    <x v="329"/>
    <x v="329"/>
    <n v="2863957971.1399999"/>
  </r>
  <r>
    <x v="3"/>
    <x v="7"/>
    <x v="98"/>
    <n v="0"/>
    <x v="329"/>
    <x v="329"/>
    <n v="11949615.189999999"/>
  </r>
  <r>
    <x v="5"/>
    <x v="7"/>
    <x v="98"/>
    <n v="0"/>
    <x v="329"/>
    <x v="329"/>
    <n v="3833591.25"/>
  </r>
  <r>
    <x v="4"/>
    <x v="7"/>
    <x v="98"/>
    <n v="9047463"/>
    <x v="329"/>
    <x v="329"/>
    <n v="480396797.85000002"/>
  </r>
  <r>
    <x v="6"/>
    <x v="7"/>
    <x v="98"/>
    <n v="4379038.8099999996"/>
    <x v="329"/>
    <x v="329"/>
    <n v="617468696.47000003"/>
  </r>
  <r>
    <x v="2"/>
    <x v="21"/>
    <x v="99"/>
    <n v="0"/>
    <x v="329"/>
    <x v="329"/>
    <n v="17514.12"/>
  </r>
  <r>
    <x v="5"/>
    <x v="1"/>
    <x v="100"/>
    <n v="61833164.590000004"/>
    <x v="722"/>
    <x v="721"/>
    <n v="9319443.9600000009"/>
  </r>
  <r>
    <x v="2"/>
    <x v="1"/>
    <x v="100"/>
    <n v="418293297.74000001"/>
    <x v="723"/>
    <x v="722"/>
    <n v="0"/>
  </r>
  <r>
    <x v="0"/>
    <x v="1"/>
    <x v="100"/>
    <n v="76180947.569999993"/>
    <x v="724"/>
    <x v="723"/>
    <n v="961784.49"/>
  </r>
  <r>
    <x v="7"/>
    <x v="1"/>
    <x v="100"/>
    <n v="458585585.83999997"/>
    <x v="725"/>
    <x v="724"/>
    <n v="8412987.6799999997"/>
  </r>
  <r>
    <x v="3"/>
    <x v="1"/>
    <x v="100"/>
    <n v="350477578.02999997"/>
    <x v="726"/>
    <x v="725"/>
    <n v="35388733.130000003"/>
  </r>
  <r>
    <x v="6"/>
    <x v="1"/>
    <x v="100"/>
    <n v="211132843.78"/>
    <x v="727"/>
    <x v="726"/>
    <n v="5209256.25"/>
  </r>
  <r>
    <x v="1"/>
    <x v="1"/>
    <x v="100"/>
    <n v="146642903.09999999"/>
    <x v="728"/>
    <x v="727"/>
    <n v="52367238.310000002"/>
  </r>
  <r>
    <x v="4"/>
    <x v="1"/>
    <x v="100"/>
    <n v="100999964.22"/>
    <x v="729"/>
    <x v="728"/>
    <n v="13536080"/>
  </r>
  <r>
    <x v="2"/>
    <x v="12"/>
    <x v="101"/>
    <n v="670766279.24000001"/>
    <x v="730"/>
    <x v="729"/>
    <n v="284529700.18000001"/>
  </r>
  <r>
    <x v="1"/>
    <x v="12"/>
    <x v="101"/>
    <n v="43433051493.790001"/>
    <x v="731"/>
    <x v="730"/>
    <n v="7455209141.7200003"/>
  </r>
  <r>
    <x v="5"/>
    <x v="12"/>
    <x v="101"/>
    <n v="1265914805.8299999"/>
    <x v="732"/>
    <x v="731"/>
    <n v="113387683.37"/>
  </r>
  <r>
    <x v="3"/>
    <x v="12"/>
    <x v="101"/>
    <n v="1177777838.8800001"/>
    <x v="733"/>
    <x v="732"/>
    <n v="329865638.48000002"/>
  </r>
  <r>
    <x v="6"/>
    <x v="12"/>
    <x v="101"/>
    <n v="492554406.44"/>
    <x v="734"/>
    <x v="733"/>
    <n v="91377962.239999995"/>
  </r>
  <r>
    <x v="4"/>
    <x v="12"/>
    <x v="101"/>
    <n v="983344890.11000001"/>
    <x v="735"/>
    <x v="734"/>
    <n v="232363419.81999999"/>
  </r>
  <r>
    <x v="7"/>
    <x v="12"/>
    <x v="101"/>
    <n v="22504075500.16"/>
    <x v="736"/>
    <x v="735"/>
    <n v="618760090.41999996"/>
  </r>
  <r>
    <x v="0"/>
    <x v="12"/>
    <x v="101"/>
    <n v="1284153756.4000001"/>
    <x v="737"/>
    <x v="736"/>
    <n v="103262717.53"/>
  </r>
  <r>
    <x v="4"/>
    <x v="14"/>
    <x v="102"/>
    <n v="13333.34"/>
    <x v="738"/>
    <x v="737"/>
    <n v="0"/>
  </r>
  <r>
    <x v="0"/>
    <x v="14"/>
    <x v="102"/>
    <n v="0"/>
    <x v="329"/>
    <x v="329"/>
    <n v="1226252.83"/>
  </r>
  <r>
    <x v="6"/>
    <x v="14"/>
    <x v="102"/>
    <n v="500000"/>
    <x v="329"/>
    <x v="329"/>
    <n v="179112.34"/>
  </r>
  <r>
    <x v="3"/>
    <x v="14"/>
    <x v="102"/>
    <n v="0"/>
    <x v="329"/>
    <x v="329"/>
    <n v="1971490.1"/>
  </r>
  <r>
    <x v="3"/>
    <x v="10"/>
    <x v="103"/>
    <n v="11010914.960000001"/>
    <x v="739"/>
    <x v="738"/>
    <n v="51645471.210000001"/>
  </r>
  <r>
    <x v="6"/>
    <x v="10"/>
    <x v="103"/>
    <n v="1059367831.47"/>
    <x v="740"/>
    <x v="739"/>
    <n v="41801255.57"/>
  </r>
  <r>
    <x v="7"/>
    <x v="10"/>
    <x v="103"/>
    <n v="178680284.97"/>
    <x v="741"/>
    <x v="740"/>
    <n v="18389446.440000001"/>
  </r>
  <r>
    <x v="0"/>
    <x v="10"/>
    <x v="103"/>
    <n v="38950276.420000002"/>
    <x v="742"/>
    <x v="741"/>
    <n v="12427987.869999999"/>
  </r>
  <r>
    <x v="1"/>
    <x v="10"/>
    <x v="103"/>
    <n v="147101981.87"/>
    <x v="743"/>
    <x v="742"/>
    <n v="12509066.02"/>
  </r>
  <r>
    <x v="2"/>
    <x v="10"/>
    <x v="103"/>
    <n v="98218779.760000005"/>
    <x v="744"/>
    <x v="743"/>
    <n v="29241999.390000001"/>
  </r>
  <r>
    <x v="5"/>
    <x v="10"/>
    <x v="103"/>
    <n v="33233094.460000001"/>
    <x v="745"/>
    <x v="744"/>
    <n v="14612006.359999999"/>
  </r>
  <r>
    <x v="4"/>
    <x v="10"/>
    <x v="103"/>
    <n v="1063600.6200000001"/>
    <x v="746"/>
    <x v="745"/>
    <n v="27873127.649999999"/>
  </r>
  <r>
    <x v="6"/>
    <x v="6"/>
    <x v="104"/>
    <n v="6000"/>
    <x v="747"/>
    <x v="746"/>
    <n v="0"/>
  </r>
  <r>
    <x v="4"/>
    <x v="6"/>
    <x v="104"/>
    <n v="6446.78"/>
    <x v="748"/>
    <x v="747"/>
    <n v="0"/>
  </r>
  <r>
    <x v="7"/>
    <x v="28"/>
    <x v="105"/>
    <n v="0"/>
    <x v="329"/>
    <x v="329"/>
    <n v="3593079"/>
  </r>
  <r>
    <x v="4"/>
    <x v="8"/>
    <x v="106"/>
    <n v="3023622.58"/>
    <x v="749"/>
    <x v="748"/>
    <n v="476414.92"/>
  </r>
  <r>
    <x v="3"/>
    <x v="8"/>
    <x v="106"/>
    <n v="301634088.14999998"/>
    <x v="750"/>
    <x v="749"/>
    <n v="0"/>
  </r>
  <r>
    <x v="7"/>
    <x v="8"/>
    <x v="106"/>
    <n v="0"/>
    <x v="329"/>
    <x v="329"/>
    <n v="3216727.02"/>
  </r>
  <r>
    <x v="6"/>
    <x v="8"/>
    <x v="106"/>
    <n v="10302592.699999999"/>
    <x v="751"/>
    <x v="750"/>
    <n v="110794.25"/>
  </r>
  <r>
    <x v="6"/>
    <x v="10"/>
    <x v="107"/>
    <n v="69210695.459999993"/>
    <x v="752"/>
    <x v="751"/>
    <n v="23416946.710000001"/>
  </r>
  <r>
    <x v="2"/>
    <x v="10"/>
    <x v="107"/>
    <n v="2722980.99"/>
    <x v="753"/>
    <x v="752"/>
    <n v="2912041.98"/>
  </r>
  <r>
    <x v="4"/>
    <x v="10"/>
    <x v="107"/>
    <n v="11965843.73"/>
    <x v="754"/>
    <x v="753"/>
    <n v="18879732.140000001"/>
  </r>
  <r>
    <x v="1"/>
    <x v="10"/>
    <x v="107"/>
    <n v="55552312.259999998"/>
    <x v="755"/>
    <x v="754"/>
    <n v="98898018.120000005"/>
  </r>
  <r>
    <x v="3"/>
    <x v="10"/>
    <x v="107"/>
    <n v="25760078.899999999"/>
    <x v="756"/>
    <x v="755"/>
    <n v="9740279.0299999993"/>
  </r>
  <r>
    <x v="7"/>
    <x v="10"/>
    <x v="107"/>
    <n v="11569243.82"/>
    <x v="757"/>
    <x v="756"/>
    <n v="10235159.41"/>
  </r>
  <r>
    <x v="5"/>
    <x v="10"/>
    <x v="107"/>
    <n v="27629056.5"/>
    <x v="758"/>
    <x v="757"/>
    <n v="1178136.1200000001"/>
  </r>
  <r>
    <x v="0"/>
    <x v="10"/>
    <x v="107"/>
    <n v="117181902.48"/>
    <x v="759"/>
    <x v="758"/>
    <n v="21817584.289999999"/>
  </r>
  <r>
    <x v="1"/>
    <x v="18"/>
    <x v="108"/>
    <n v="12049112.26"/>
    <x v="760"/>
    <x v="759"/>
    <n v="778688.88"/>
  </r>
  <r>
    <x v="5"/>
    <x v="18"/>
    <x v="108"/>
    <n v="158298.65"/>
    <x v="761"/>
    <x v="760"/>
    <n v="0"/>
  </r>
  <r>
    <x v="2"/>
    <x v="18"/>
    <x v="108"/>
    <n v="2047059.13"/>
    <x v="762"/>
    <x v="761"/>
    <n v="0"/>
  </r>
  <r>
    <x v="3"/>
    <x v="18"/>
    <x v="108"/>
    <n v="227146.8"/>
    <x v="763"/>
    <x v="762"/>
    <n v="0"/>
  </r>
  <r>
    <x v="6"/>
    <x v="18"/>
    <x v="108"/>
    <n v="42847.7"/>
    <x v="764"/>
    <x v="763"/>
    <n v="0"/>
  </r>
  <r>
    <x v="0"/>
    <x v="18"/>
    <x v="108"/>
    <n v="65838.3"/>
    <x v="765"/>
    <x v="764"/>
    <n v="0"/>
  </r>
  <r>
    <x v="7"/>
    <x v="18"/>
    <x v="108"/>
    <n v="-431289.08"/>
    <x v="766"/>
    <x v="765"/>
    <n v="15881.53"/>
  </r>
  <r>
    <x v="4"/>
    <x v="18"/>
    <x v="108"/>
    <n v="54422.16"/>
    <x v="767"/>
    <x v="766"/>
    <n v="0"/>
  </r>
  <r>
    <x v="7"/>
    <x v="12"/>
    <x v="109"/>
    <n v="140202621.94"/>
    <x v="768"/>
    <x v="767"/>
    <n v="12464717.85"/>
  </r>
  <r>
    <x v="6"/>
    <x v="12"/>
    <x v="109"/>
    <n v="-3099674.91"/>
    <x v="769"/>
    <x v="768"/>
    <n v="1484051.73"/>
  </r>
  <r>
    <x v="3"/>
    <x v="12"/>
    <x v="109"/>
    <n v="156503156.53"/>
    <x v="770"/>
    <x v="769"/>
    <n v="2275784.29"/>
  </r>
  <r>
    <x v="5"/>
    <x v="12"/>
    <x v="109"/>
    <n v="150012915.47999999"/>
    <x v="771"/>
    <x v="770"/>
    <n v="7944855.4900000002"/>
  </r>
  <r>
    <x v="2"/>
    <x v="12"/>
    <x v="109"/>
    <n v="150243793.05000001"/>
    <x v="772"/>
    <x v="771"/>
    <n v="7163332.9299999997"/>
  </r>
  <r>
    <x v="4"/>
    <x v="12"/>
    <x v="109"/>
    <n v="166169087.59"/>
    <x v="773"/>
    <x v="772"/>
    <n v="4789816.3899999997"/>
  </r>
  <r>
    <x v="1"/>
    <x v="12"/>
    <x v="109"/>
    <n v="158980506.66999999"/>
    <x v="774"/>
    <x v="773"/>
    <n v="127322782.77"/>
  </r>
  <r>
    <x v="0"/>
    <x v="12"/>
    <x v="109"/>
    <n v="152272055.27000001"/>
    <x v="775"/>
    <x v="774"/>
    <n v="6099452.8700000001"/>
  </r>
  <r>
    <x v="2"/>
    <x v="4"/>
    <x v="110"/>
    <n v="130985240.89"/>
    <x v="776"/>
    <x v="775"/>
    <n v="6268867.5300000003"/>
  </r>
  <r>
    <x v="5"/>
    <x v="4"/>
    <x v="110"/>
    <n v="172823373.09"/>
    <x v="777"/>
    <x v="776"/>
    <n v="1529373.49"/>
  </r>
  <r>
    <x v="7"/>
    <x v="4"/>
    <x v="110"/>
    <n v="136222098.25"/>
    <x v="778"/>
    <x v="777"/>
    <n v="10432657.76"/>
  </r>
  <r>
    <x v="0"/>
    <x v="4"/>
    <x v="110"/>
    <n v="126950495.09"/>
    <x v="779"/>
    <x v="778"/>
    <n v="779488.15"/>
  </r>
  <r>
    <x v="6"/>
    <x v="4"/>
    <x v="110"/>
    <n v="164743855.61000001"/>
    <x v="780"/>
    <x v="779"/>
    <n v="3785001.36"/>
  </r>
  <r>
    <x v="4"/>
    <x v="4"/>
    <x v="110"/>
    <n v="163862149.61000001"/>
    <x v="781"/>
    <x v="780"/>
    <n v="1558042.06"/>
  </r>
  <r>
    <x v="1"/>
    <x v="4"/>
    <x v="110"/>
    <n v="174240828.28"/>
    <x v="782"/>
    <x v="781"/>
    <n v="30861231.050000001"/>
  </r>
  <r>
    <x v="3"/>
    <x v="4"/>
    <x v="110"/>
    <n v="128627383.65000001"/>
    <x v="783"/>
    <x v="782"/>
    <n v="4616845.43"/>
  </r>
  <r>
    <x v="3"/>
    <x v="9"/>
    <x v="111"/>
    <n v="14406036.33"/>
    <x v="784"/>
    <x v="783"/>
    <n v="7967888.3200000003"/>
  </r>
  <r>
    <x v="1"/>
    <x v="9"/>
    <x v="111"/>
    <n v="157453038.13999999"/>
    <x v="785"/>
    <x v="784"/>
    <n v="17640814.289999999"/>
  </r>
  <r>
    <x v="6"/>
    <x v="9"/>
    <x v="111"/>
    <n v="16286458.4"/>
    <x v="786"/>
    <x v="785"/>
    <n v="4568608.5599999996"/>
  </r>
  <r>
    <x v="0"/>
    <x v="9"/>
    <x v="111"/>
    <n v="17208744.809999999"/>
    <x v="787"/>
    <x v="786"/>
    <n v="9878821.0299999993"/>
  </r>
  <r>
    <x v="7"/>
    <x v="9"/>
    <x v="111"/>
    <n v="2595007.7200000002"/>
    <x v="788"/>
    <x v="787"/>
    <n v="11862201.550000001"/>
  </r>
  <r>
    <x v="4"/>
    <x v="9"/>
    <x v="111"/>
    <n v="35000435.810000002"/>
    <x v="789"/>
    <x v="788"/>
    <n v="8517687.5099999998"/>
  </r>
  <r>
    <x v="2"/>
    <x v="9"/>
    <x v="111"/>
    <n v="8189922.04"/>
    <x v="790"/>
    <x v="789"/>
    <n v="7746846.21"/>
  </r>
  <r>
    <x v="5"/>
    <x v="9"/>
    <x v="111"/>
    <n v="22975491.120000001"/>
    <x v="791"/>
    <x v="790"/>
    <n v="10705864.82"/>
  </r>
  <r>
    <x v="1"/>
    <x v="7"/>
    <x v="112"/>
    <n v="22366612.43"/>
    <x v="792"/>
    <x v="791"/>
    <n v="10724537.880000001"/>
  </r>
  <r>
    <x v="2"/>
    <x v="7"/>
    <x v="112"/>
    <n v="6113244.3799999999"/>
    <x v="793"/>
    <x v="792"/>
    <n v="5592493.2199999997"/>
  </r>
  <r>
    <x v="7"/>
    <x v="7"/>
    <x v="112"/>
    <n v="19684617.34"/>
    <x v="794"/>
    <x v="793"/>
    <n v="3231960.35"/>
  </r>
  <r>
    <x v="3"/>
    <x v="7"/>
    <x v="112"/>
    <n v="11475904.35"/>
    <x v="795"/>
    <x v="794"/>
    <n v="47921.03"/>
  </r>
  <r>
    <x v="6"/>
    <x v="7"/>
    <x v="112"/>
    <n v="3032993.33"/>
    <x v="796"/>
    <x v="795"/>
    <n v="1153894.71"/>
  </r>
  <r>
    <x v="0"/>
    <x v="7"/>
    <x v="112"/>
    <n v="22099583.010000002"/>
    <x v="797"/>
    <x v="796"/>
    <n v="811403.1"/>
  </r>
  <r>
    <x v="4"/>
    <x v="7"/>
    <x v="112"/>
    <n v="13590946.1"/>
    <x v="798"/>
    <x v="797"/>
    <n v="788619.1"/>
  </r>
  <r>
    <x v="5"/>
    <x v="7"/>
    <x v="112"/>
    <n v="37766868.079999998"/>
    <x v="799"/>
    <x v="798"/>
    <n v="413700.76"/>
  </r>
  <r>
    <x v="4"/>
    <x v="6"/>
    <x v="113"/>
    <n v="126481786.86"/>
    <x v="800"/>
    <x v="799"/>
    <n v="2698569.24"/>
  </r>
  <r>
    <x v="3"/>
    <x v="6"/>
    <x v="113"/>
    <n v="128834857.56"/>
    <x v="801"/>
    <x v="800"/>
    <n v="11347319.279999999"/>
  </r>
  <r>
    <x v="0"/>
    <x v="6"/>
    <x v="113"/>
    <n v="48115251.210000001"/>
    <x v="802"/>
    <x v="801"/>
    <n v="9126484.2200000007"/>
  </r>
  <r>
    <x v="5"/>
    <x v="6"/>
    <x v="113"/>
    <n v="62180942.479999997"/>
    <x v="803"/>
    <x v="802"/>
    <n v="5944426.2699999996"/>
  </r>
  <r>
    <x v="6"/>
    <x v="6"/>
    <x v="113"/>
    <n v="11162069.01"/>
    <x v="804"/>
    <x v="803"/>
    <n v="3231336.8"/>
  </r>
  <r>
    <x v="1"/>
    <x v="6"/>
    <x v="113"/>
    <n v="1184241249.0799999"/>
    <x v="805"/>
    <x v="804"/>
    <n v="90697330.239999995"/>
  </r>
  <r>
    <x v="7"/>
    <x v="6"/>
    <x v="113"/>
    <n v="23188320.57"/>
    <x v="806"/>
    <x v="805"/>
    <n v="16757196.48"/>
  </r>
  <r>
    <x v="2"/>
    <x v="6"/>
    <x v="113"/>
    <n v="47759198.329999998"/>
    <x v="807"/>
    <x v="806"/>
    <n v="6190009.3600000003"/>
  </r>
  <r>
    <x v="4"/>
    <x v="6"/>
    <x v="114"/>
    <n v="80988050"/>
    <x v="808"/>
    <x v="807"/>
    <n v="3522217.49"/>
  </r>
  <r>
    <x v="6"/>
    <x v="6"/>
    <x v="114"/>
    <n v="47724668.899999999"/>
    <x v="809"/>
    <x v="808"/>
    <n v="2746107.33"/>
  </r>
  <r>
    <x v="7"/>
    <x v="6"/>
    <x v="114"/>
    <n v="17459921.140000001"/>
    <x v="810"/>
    <x v="809"/>
    <n v="10651258.08"/>
  </r>
  <r>
    <x v="2"/>
    <x v="6"/>
    <x v="114"/>
    <n v="87871655.519999996"/>
    <x v="811"/>
    <x v="810"/>
    <n v="3449817.49"/>
  </r>
  <r>
    <x v="0"/>
    <x v="6"/>
    <x v="114"/>
    <n v="30044581.43"/>
    <x v="812"/>
    <x v="811"/>
    <n v="5558119.5499999998"/>
  </r>
  <r>
    <x v="5"/>
    <x v="6"/>
    <x v="114"/>
    <n v="134077733.3"/>
    <x v="813"/>
    <x v="812"/>
    <n v="1771956.96"/>
  </r>
  <r>
    <x v="3"/>
    <x v="6"/>
    <x v="114"/>
    <n v="124946117.84"/>
    <x v="814"/>
    <x v="813"/>
    <n v="4122341.9"/>
  </r>
  <r>
    <x v="1"/>
    <x v="6"/>
    <x v="114"/>
    <n v="120211557.26000001"/>
    <x v="815"/>
    <x v="814"/>
    <n v="49629705.880000003"/>
  </r>
  <r>
    <x v="2"/>
    <x v="22"/>
    <x v="115"/>
    <n v="-15439597.49"/>
    <x v="816"/>
    <x v="815"/>
    <n v="754736.5"/>
  </r>
  <r>
    <x v="5"/>
    <x v="22"/>
    <x v="115"/>
    <n v="34893163"/>
    <x v="817"/>
    <x v="816"/>
    <n v="86773.8"/>
  </r>
  <r>
    <x v="6"/>
    <x v="22"/>
    <x v="115"/>
    <n v="27312.07"/>
    <x v="818"/>
    <x v="817"/>
    <n v="341704.64"/>
  </r>
  <r>
    <x v="7"/>
    <x v="22"/>
    <x v="115"/>
    <n v="-12460155.23"/>
    <x v="819"/>
    <x v="818"/>
    <n v="3027249.29"/>
  </r>
  <r>
    <x v="4"/>
    <x v="22"/>
    <x v="115"/>
    <n v="2212020.38"/>
    <x v="820"/>
    <x v="819"/>
    <n v="40847.07"/>
  </r>
  <r>
    <x v="1"/>
    <x v="22"/>
    <x v="115"/>
    <n v="383919571.18000001"/>
    <x v="821"/>
    <x v="820"/>
    <n v="22128983.02"/>
  </r>
  <r>
    <x v="3"/>
    <x v="22"/>
    <x v="115"/>
    <n v="11813206.83"/>
    <x v="822"/>
    <x v="821"/>
    <n v="197190.08"/>
  </r>
  <r>
    <x v="0"/>
    <x v="22"/>
    <x v="115"/>
    <n v="2929702.86"/>
    <x v="823"/>
    <x v="822"/>
    <n v="2559207.5499999998"/>
  </r>
  <r>
    <x v="2"/>
    <x v="6"/>
    <x v="116"/>
    <n v="2361104.88"/>
    <x v="824"/>
    <x v="823"/>
    <n v="274928.38"/>
  </r>
  <r>
    <x v="5"/>
    <x v="6"/>
    <x v="116"/>
    <n v="3022369.83"/>
    <x v="825"/>
    <x v="824"/>
    <n v="163785.04"/>
  </r>
  <r>
    <x v="3"/>
    <x v="6"/>
    <x v="116"/>
    <n v="3266202.6"/>
    <x v="826"/>
    <x v="825"/>
    <n v="94491.87"/>
  </r>
  <r>
    <x v="4"/>
    <x v="6"/>
    <x v="116"/>
    <n v="1908605.78"/>
    <x v="827"/>
    <x v="826"/>
    <n v="532252.51"/>
  </r>
  <r>
    <x v="6"/>
    <x v="6"/>
    <x v="116"/>
    <n v="3308261.4"/>
    <x v="828"/>
    <x v="827"/>
    <n v="75048.73"/>
  </r>
  <r>
    <x v="0"/>
    <x v="6"/>
    <x v="116"/>
    <n v="3303205.95"/>
    <x v="829"/>
    <x v="828"/>
    <n v="850"/>
  </r>
  <r>
    <x v="7"/>
    <x v="6"/>
    <x v="116"/>
    <n v="3614764.67"/>
    <x v="830"/>
    <x v="829"/>
    <n v="493622.51"/>
  </r>
  <r>
    <x v="1"/>
    <x v="6"/>
    <x v="116"/>
    <n v="50761881.659999996"/>
    <x v="831"/>
    <x v="830"/>
    <n v="3515831.56"/>
  </r>
  <r>
    <x v="2"/>
    <x v="7"/>
    <x v="117"/>
    <n v="1474892.41"/>
    <x v="832"/>
    <x v="831"/>
    <n v="18269568.800000001"/>
  </r>
  <r>
    <x v="1"/>
    <x v="7"/>
    <x v="117"/>
    <n v="17142818.719999999"/>
    <x v="833"/>
    <x v="832"/>
    <n v="21570038.48"/>
  </r>
  <r>
    <x v="6"/>
    <x v="7"/>
    <x v="117"/>
    <n v="21708057.719999999"/>
    <x v="834"/>
    <x v="833"/>
    <n v="2448788.89"/>
  </r>
  <r>
    <x v="0"/>
    <x v="7"/>
    <x v="117"/>
    <n v="11460932.1"/>
    <x v="835"/>
    <x v="834"/>
    <n v="4206500.41"/>
  </r>
  <r>
    <x v="5"/>
    <x v="7"/>
    <x v="117"/>
    <n v="59783804.159999996"/>
    <x v="836"/>
    <x v="835"/>
    <n v="7554674.5700000003"/>
  </r>
  <r>
    <x v="4"/>
    <x v="7"/>
    <x v="117"/>
    <n v="3498000.12"/>
    <x v="837"/>
    <x v="836"/>
    <n v="6659629.21"/>
  </r>
  <r>
    <x v="3"/>
    <x v="7"/>
    <x v="117"/>
    <n v="10305585.130000001"/>
    <x v="838"/>
    <x v="837"/>
    <n v="3212711.04"/>
  </r>
  <r>
    <x v="7"/>
    <x v="7"/>
    <x v="117"/>
    <n v="215406584.94999999"/>
    <x v="839"/>
    <x v="838"/>
    <n v="7226171.3200000003"/>
  </r>
  <r>
    <x v="1"/>
    <x v="12"/>
    <x v="118"/>
    <n v="291406678.07999998"/>
    <x v="840"/>
    <x v="839"/>
    <n v="26320469.649999999"/>
  </r>
  <r>
    <x v="5"/>
    <x v="12"/>
    <x v="118"/>
    <n v="8094099.96"/>
    <x v="841"/>
    <x v="840"/>
    <n v="3315034.49"/>
  </r>
  <r>
    <x v="4"/>
    <x v="12"/>
    <x v="118"/>
    <n v="8725240.3800000008"/>
    <x v="842"/>
    <x v="841"/>
    <n v="2327373.92"/>
  </r>
  <r>
    <x v="3"/>
    <x v="12"/>
    <x v="118"/>
    <n v="6292208.3399999999"/>
    <x v="843"/>
    <x v="842"/>
    <n v="2333561.42"/>
  </r>
  <r>
    <x v="0"/>
    <x v="12"/>
    <x v="118"/>
    <n v="11655853.66"/>
    <x v="844"/>
    <x v="843"/>
    <n v="1420536.24"/>
  </r>
  <r>
    <x v="6"/>
    <x v="12"/>
    <x v="118"/>
    <n v="4861917.8"/>
    <x v="845"/>
    <x v="844"/>
    <n v="1189189.21"/>
  </r>
  <r>
    <x v="2"/>
    <x v="12"/>
    <x v="118"/>
    <n v="6363968.2599999998"/>
    <x v="846"/>
    <x v="845"/>
    <n v="5592208.8300000001"/>
  </r>
  <r>
    <x v="7"/>
    <x v="12"/>
    <x v="118"/>
    <n v="4333797.03"/>
    <x v="847"/>
    <x v="846"/>
    <n v="3643155.57"/>
  </r>
  <r>
    <x v="1"/>
    <x v="12"/>
    <x v="119"/>
    <n v="368600280.82999998"/>
    <x v="848"/>
    <x v="847"/>
    <n v="29256107.120000001"/>
  </r>
  <r>
    <x v="3"/>
    <x v="12"/>
    <x v="119"/>
    <n v="22796533.760000002"/>
    <x v="849"/>
    <x v="848"/>
    <n v="1823091.19"/>
  </r>
  <r>
    <x v="6"/>
    <x v="12"/>
    <x v="119"/>
    <n v="5611633.4900000002"/>
    <x v="850"/>
    <x v="849"/>
    <n v="483211.19"/>
  </r>
  <r>
    <x v="2"/>
    <x v="12"/>
    <x v="119"/>
    <n v="5767566.9400000004"/>
    <x v="851"/>
    <x v="850"/>
    <n v="4347327.45"/>
  </r>
  <r>
    <x v="0"/>
    <x v="12"/>
    <x v="119"/>
    <n v="5484210.29"/>
    <x v="852"/>
    <x v="851"/>
    <n v="918558.16"/>
  </r>
  <r>
    <x v="5"/>
    <x v="12"/>
    <x v="119"/>
    <n v="7999366.9299999997"/>
    <x v="853"/>
    <x v="852"/>
    <n v="1577506.05"/>
  </r>
  <r>
    <x v="7"/>
    <x v="12"/>
    <x v="119"/>
    <n v="3767826.2"/>
    <x v="854"/>
    <x v="853"/>
    <n v="1759067.82"/>
  </r>
  <r>
    <x v="4"/>
    <x v="12"/>
    <x v="119"/>
    <n v="5962752.0300000003"/>
    <x v="855"/>
    <x v="854"/>
    <n v="1270665.1499999999"/>
  </r>
  <r>
    <x v="1"/>
    <x v="12"/>
    <x v="120"/>
    <n v="588457629.16999996"/>
    <x v="856"/>
    <x v="855"/>
    <n v="49406407.159999996"/>
  </r>
  <r>
    <x v="2"/>
    <x v="12"/>
    <x v="120"/>
    <n v="-15038339.039999999"/>
    <x v="857"/>
    <x v="856"/>
    <n v="5865901.5300000003"/>
  </r>
  <r>
    <x v="0"/>
    <x v="12"/>
    <x v="120"/>
    <n v="6498793.3899999997"/>
    <x v="858"/>
    <x v="857"/>
    <n v="1370109.35"/>
  </r>
  <r>
    <x v="6"/>
    <x v="12"/>
    <x v="120"/>
    <n v="2769402.23"/>
    <x v="859"/>
    <x v="858"/>
    <n v="654812.76"/>
  </r>
  <r>
    <x v="7"/>
    <x v="12"/>
    <x v="120"/>
    <n v="29272101.190000001"/>
    <x v="860"/>
    <x v="859"/>
    <n v="3147502.6"/>
  </r>
  <r>
    <x v="3"/>
    <x v="12"/>
    <x v="120"/>
    <n v="14922896.5"/>
    <x v="861"/>
    <x v="860"/>
    <n v="1709376.39"/>
  </r>
  <r>
    <x v="5"/>
    <x v="12"/>
    <x v="120"/>
    <n v="32901683.399999999"/>
    <x v="862"/>
    <x v="861"/>
    <n v="3793582.28"/>
  </r>
  <r>
    <x v="4"/>
    <x v="12"/>
    <x v="120"/>
    <n v="51161813.840000004"/>
    <x v="863"/>
    <x v="862"/>
    <n v="881267.06"/>
  </r>
  <r>
    <x v="3"/>
    <x v="12"/>
    <x v="121"/>
    <n v="76371142.709999993"/>
    <x v="864"/>
    <x v="863"/>
    <n v="4356406.09"/>
  </r>
  <r>
    <x v="4"/>
    <x v="12"/>
    <x v="121"/>
    <n v="21205803.010000002"/>
    <x v="865"/>
    <x v="864"/>
    <n v="3490294.39"/>
  </r>
  <r>
    <x v="5"/>
    <x v="12"/>
    <x v="121"/>
    <n v="24853071.289999999"/>
    <x v="866"/>
    <x v="865"/>
    <n v="5384039.8799999999"/>
  </r>
  <r>
    <x v="7"/>
    <x v="12"/>
    <x v="121"/>
    <n v="191462469.84"/>
    <x v="867"/>
    <x v="866"/>
    <n v="4429945.74"/>
  </r>
  <r>
    <x v="2"/>
    <x v="12"/>
    <x v="121"/>
    <n v="9930362.5999999996"/>
    <x v="868"/>
    <x v="867"/>
    <n v="7276934.9800000004"/>
  </r>
  <r>
    <x v="1"/>
    <x v="12"/>
    <x v="121"/>
    <n v="130833049.8"/>
    <x v="869"/>
    <x v="868"/>
    <n v="46782993.509999998"/>
  </r>
  <r>
    <x v="0"/>
    <x v="12"/>
    <x v="121"/>
    <n v="105677843.61"/>
    <x v="870"/>
    <x v="869"/>
    <n v="2614569.0099999998"/>
  </r>
  <r>
    <x v="6"/>
    <x v="12"/>
    <x v="121"/>
    <n v="5792743.6399999997"/>
    <x v="871"/>
    <x v="870"/>
    <n v="2804281.29"/>
  </r>
  <r>
    <x v="2"/>
    <x v="12"/>
    <x v="122"/>
    <n v="4710123.82"/>
    <x v="872"/>
    <x v="871"/>
    <n v="4947502.5199999996"/>
  </r>
  <r>
    <x v="5"/>
    <x v="12"/>
    <x v="122"/>
    <n v="4183604.74"/>
    <x v="873"/>
    <x v="872"/>
    <n v="3013382.63"/>
  </r>
  <r>
    <x v="6"/>
    <x v="12"/>
    <x v="122"/>
    <n v="9962004.8800000008"/>
    <x v="874"/>
    <x v="873"/>
    <n v="1368815.4"/>
  </r>
  <r>
    <x v="4"/>
    <x v="12"/>
    <x v="122"/>
    <n v="10204514.189999999"/>
    <x v="875"/>
    <x v="874"/>
    <n v="2219560.15"/>
  </r>
  <r>
    <x v="0"/>
    <x v="12"/>
    <x v="122"/>
    <n v="26397409.370000001"/>
    <x v="876"/>
    <x v="875"/>
    <n v="2105805.0499999998"/>
  </r>
  <r>
    <x v="7"/>
    <x v="12"/>
    <x v="122"/>
    <n v="3787104.32"/>
    <x v="877"/>
    <x v="876"/>
    <n v="4100197.75"/>
  </r>
  <r>
    <x v="3"/>
    <x v="12"/>
    <x v="122"/>
    <n v="16089728.689999999"/>
    <x v="878"/>
    <x v="877"/>
    <n v="3771652.72"/>
  </r>
  <r>
    <x v="1"/>
    <x v="12"/>
    <x v="122"/>
    <n v="356077355.20999998"/>
    <x v="879"/>
    <x v="878"/>
    <n v="32690533.199999999"/>
  </r>
  <r>
    <x v="3"/>
    <x v="12"/>
    <x v="123"/>
    <n v="23905743.370000001"/>
    <x v="880"/>
    <x v="879"/>
    <n v="8822992.6099999994"/>
  </r>
  <r>
    <x v="0"/>
    <x v="12"/>
    <x v="123"/>
    <n v="22976413.969999999"/>
    <x v="881"/>
    <x v="880"/>
    <n v="2545223.9900000002"/>
  </r>
  <r>
    <x v="1"/>
    <x v="12"/>
    <x v="123"/>
    <n v="24049697.530000001"/>
    <x v="882"/>
    <x v="881"/>
    <n v="15153510.199999999"/>
  </r>
  <r>
    <x v="5"/>
    <x v="12"/>
    <x v="123"/>
    <n v="34905067.350000001"/>
    <x v="883"/>
    <x v="882"/>
    <n v="9349602.0999999996"/>
  </r>
  <r>
    <x v="2"/>
    <x v="12"/>
    <x v="123"/>
    <n v="21847962.170000002"/>
    <x v="884"/>
    <x v="883"/>
    <n v="3938446.8"/>
  </r>
  <r>
    <x v="7"/>
    <x v="12"/>
    <x v="123"/>
    <n v="19981255.109999999"/>
    <x v="885"/>
    <x v="884"/>
    <n v="2313646.25"/>
  </r>
  <r>
    <x v="6"/>
    <x v="12"/>
    <x v="123"/>
    <n v="3631707.12"/>
    <x v="886"/>
    <x v="885"/>
    <n v="944812.22"/>
  </r>
  <r>
    <x v="4"/>
    <x v="12"/>
    <x v="123"/>
    <n v="32608448.199999999"/>
    <x v="887"/>
    <x v="886"/>
    <n v="2033130.57"/>
  </r>
  <r>
    <x v="7"/>
    <x v="12"/>
    <x v="124"/>
    <n v="2473135.69"/>
    <x v="888"/>
    <x v="887"/>
    <n v="13086532.93"/>
  </r>
  <r>
    <x v="1"/>
    <x v="12"/>
    <x v="124"/>
    <n v="434493261.01999998"/>
    <x v="889"/>
    <x v="888"/>
    <n v="39693092.939999998"/>
  </r>
  <r>
    <x v="2"/>
    <x v="12"/>
    <x v="124"/>
    <n v="4831076.22"/>
    <x v="890"/>
    <x v="889"/>
    <n v="7102173.3300000001"/>
  </r>
  <r>
    <x v="3"/>
    <x v="12"/>
    <x v="124"/>
    <n v="7478003.7400000002"/>
    <x v="891"/>
    <x v="890"/>
    <n v="2448720.7000000002"/>
  </r>
  <r>
    <x v="0"/>
    <x v="12"/>
    <x v="124"/>
    <n v="16529921.35"/>
    <x v="892"/>
    <x v="891"/>
    <n v="1571197.06"/>
  </r>
  <r>
    <x v="6"/>
    <x v="12"/>
    <x v="124"/>
    <n v="41948158.57"/>
    <x v="893"/>
    <x v="892"/>
    <n v="934251.7"/>
  </r>
  <r>
    <x v="5"/>
    <x v="12"/>
    <x v="124"/>
    <n v="8130792.0999999996"/>
    <x v="894"/>
    <x v="893"/>
    <n v="1885371.32"/>
  </r>
  <r>
    <x v="4"/>
    <x v="12"/>
    <x v="124"/>
    <n v="12756279.710000001"/>
    <x v="895"/>
    <x v="894"/>
    <n v="1767959.06"/>
  </r>
  <r>
    <x v="7"/>
    <x v="12"/>
    <x v="125"/>
    <n v="6714034.7599999998"/>
    <x v="896"/>
    <x v="895"/>
    <n v="3887182.11"/>
  </r>
  <r>
    <x v="6"/>
    <x v="12"/>
    <x v="125"/>
    <n v="3119211.76"/>
    <x v="897"/>
    <x v="896"/>
    <n v="1293656.32"/>
  </r>
  <r>
    <x v="0"/>
    <x v="12"/>
    <x v="125"/>
    <n v="31636470.280000001"/>
    <x v="898"/>
    <x v="897"/>
    <n v="1571155.36"/>
  </r>
  <r>
    <x v="2"/>
    <x v="12"/>
    <x v="125"/>
    <n v="-6553277.6299999999"/>
    <x v="899"/>
    <x v="898"/>
    <n v="5399225.96"/>
  </r>
  <r>
    <x v="3"/>
    <x v="12"/>
    <x v="125"/>
    <n v="5287604.74"/>
    <x v="900"/>
    <x v="899"/>
    <n v="2245534.79"/>
  </r>
  <r>
    <x v="5"/>
    <x v="12"/>
    <x v="125"/>
    <n v="17270240.899999999"/>
    <x v="901"/>
    <x v="900"/>
    <n v="2370457.73"/>
  </r>
  <r>
    <x v="4"/>
    <x v="12"/>
    <x v="125"/>
    <n v="7627332.2000000002"/>
    <x v="902"/>
    <x v="901"/>
    <n v="2443504.79"/>
  </r>
  <r>
    <x v="1"/>
    <x v="12"/>
    <x v="125"/>
    <n v="431474263.14999998"/>
    <x v="903"/>
    <x v="902"/>
    <n v="33932740.090000004"/>
  </r>
  <r>
    <x v="1"/>
    <x v="12"/>
    <x v="126"/>
    <n v="544182642.61000001"/>
    <x v="904"/>
    <x v="903"/>
    <n v="48133928.789999999"/>
  </r>
  <r>
    <x v="3"/>
    <x v="12"/>
    <x v="126"/>
    <n v="11477800.65"/>
    <x v="905"/>
    <x v="904"/>
    <n v="1444986.45"/>
  </r>
  <r>
    <x v="0"/>
    <x v="12"/>
    <x v="126"/>
    <n v="10589339.08"/>
    <x v="906"/>
    <x v="905"/>
    <n v="1025913"/>
  </r>
  <r>
    <x v="4"/>
    <x v="12"/>
    <x v="126"/>
    <n v="6909249.3300000001"/>
    <x v="907"/>
    <x v="906"/>
    <n v="1382900.67"/>
  </r>
  <r>
    <x v="5"/>
    <x v="12"/>
    <x v="126"/>
    <n v="26646911.120000001"/>
    <x v="908"/>
    <x v="907"/>
    <n v="2923890.25"/>
  </r>
  <r>
    <x v="2"/>
    <x v="12"/>
    <x v="126"/>
    <n v="7694330.5700000003"/>
    <x v="909"/>
    <x v="908"/>
    <n v="4079236.75"/>
  </r>
  <r>
    <x v="6"/>
    <x v="12"/>
    <x v="126"/>
    <n v="2149874.38"/>
    <x v="910"/>
    <x v="909"/>
    <n v="446921.36"/>
  </r>
  <r>
    <x v="7"/>
    <x v="12"/>
    <x v="126"/>
    <n v="6187878.4400000004"/>
    <x v="911"/>
    <x v="910"/>
    <n v="3392889.47"/>
  </r>
  <r>
    <x v="6"/>
    <x v="12"/>
    <x v="127"/>
    <n v="3643242.55"/>
    <x v="912"/>
    <x v="911"/>
    <n v="5498705.1299999999"/>
  </r>
  <r>
    <x v="5"/>
    <x v="12"/>
    <x v="127"/>
    <n v="13806013.57"/>
    <x v="913"/>
    <x v="912"/>
    <n v="5201944.43"/>
  </r>
  <r>
    <x v="7"/>
    <x v="12"/>
    <x v="127"/>
    <n v="5906835.8600000003"/>
    <x v="914"/>
    <x v="913"/>
    <n v="2469220.2799999998"/>
  </r>
  <r>
    <x v="3"/>
    <x v="12"/>
    <x v="127"/>
    <n v="10046226.029999999"/>
    <x v="915"/>
    <x v="914"/>
    <n v="5465573.25"/>
  </r>
  <r>
    <x v="2"/>
    <x v="12"/>
    <x v="127"/>
    <n v="3366247.65"/>
    <x v="916"/>
    <x v="915"/>
    <n v="5834760.5300000003"/>
  </r>
  <r>
    <x v="1"/>
    <x v="12"/>
    <x v="127"/>
    <n v="200555524.71000001"/>
    <x v="917"/>
    <x v="916"/>
    <n v="20595848.890000001"/>
  </r>
  <r>
    <x v="0"/>
    <x v="12"/>
    <x v="127"/>
    <n v="30535977.899999999"/>
    <x v="918"/>
    <x v="917"/>
    <n v="3632613.21"/>
  </r>
  <r>
    <x v="4"/>
    <x v="12"/>
    <x v="127"/>
    <n v="5584453.54"/>
    <x v="919"/>
    <x v="918"/>
    <n v="1359848.14"/>
  </r>
  <r>
    <x v="2"/>
    <x v="12"/>
    <x v="128"/>
    <n v="18413035.829999998"/>
    <x v="920"/>
    <x v="919"/>
    <n v="2221795.71"/>
  </r>
  <r>
    <x v="1"/>
    <x v="12"/>
    <x v="128"/>
    <n v="23200794.199999999"/>
    <x v="921"/>
    <x v="920"/>
    <n v="10395908.720000001"/>
  </r>
  <r>
    <x v="5"/>
    <x v="12"/>
    <x v="128"/>
    <n v="3425814.67"/>
    <x v="922"/>
    <x v="921"/>
    <n v="2360216.81"/>
  </r>
  <r>
    <x v="3"/>
    <x v="12"/>
    <x v="128"/>
    <n v="20742351.640000001"/>
    <x v="923"/>
    <x v="922"/>
    <n v="1027178.69"/>
  </r>
  <r>
    <x v="0"/>
    <x v="12"/>
    <x v="128"/>
    <n v="10393472.15"/>
    <x v="924"/>
    <x v="923"/>
    <n v="808720.46"/>
  </r>
  <r>
    <x v="4"/>
    <x v="12"/>
    <x v="128"/>
    <n v="19778406.82"/>
    <x v="925"/>
    <x v="924"/>
    <n v="351655.36"/>
  </r>
  <r>
    <x v="7"/>
    <x v="12"/>
    <x v="128"/>
    <n v="13168573.42"/>
    <x v="926"/>
    <x v="925"/>
    <n v="1277236.54"/>
  </r>
  <r>
    <x v="6"/>
    <x v="12"/>
    <x v="128"/>
    <n v="1121876.1100000001"/>
    <x v="927"/>
    <x v="926"/>
    <n v="818401.12"/>
  </r>
  <r>
    <x v="6"/>
    <x v="12"/>
    <x v="129"/>
    <n v="4550178.49"/>
    <x v="928"/>
    <x v="927"/>
    <n v="865033.26"/>
  </r>
  <r>
    <x v="7"/>
    <x v="12"/>
    <x v="129"/>
    <n v="8557547.1099999994"/>
    <x v="929"/>
    <x v="928"/>
    <n v="3387191.68"/>
  </r>
  <r>
    <x v="5"/>
    <x v="12"/>
    <x v="129"/>
    <n v="76422066.400000006"/>
    <x v="930"/>
    <x v="929"/>
    <n v="3520015.05"/>
  </r>
  <r>
    <x v="1"/>
    <x v="12"/>
    <x v="129"/>
    <n v="300112547.04000002"/>
    <x v="931"/>
    <x v="930"/>
    <n v="51849538.68"/>
  </r>
  <r>
    <x v="4"/>
    <x v="12"/>
    <x v="129"/>
    <n v="255132166.36000001"/>
    <x v="932"/>
    <x v="931"/>
    <n v="1397261.81"/>
  </r>
  <r>
    <x v="2"/>
    <x v="12"/>
    <x v="129"/>
    <n v="7193970.1500000004"/>
    <x v="933"/>
    <x v="932"/>
    <n v="6648500.75"/>
  </r>
  <r>
    <x v="0"/>
    <x v="12"/>
    <x v="129"/>
    <n v="10268824.140000001"/>
    <x v="934"/>
    <x v="933"/>
    <n v="1531930.99"/>
  </r>
  <r>
    <x v="3"/>
    <x v="12"/>
    <x v="129"/>
    <n v="12568926.59"/>
    <x v="935"/>
    <x v="934"/>
    <n v="2727308.54"/>
  </r>
  <r>
    <x v="7"/>
    <x v="12"/>
    <x v="130"/>
    <n v="23967403.219999999"/>
    <x v="936"/>
    <x v="935"/>
    <n v="2224817.69"/>
  </r>
  <r>
    <x v="2"/>
    <x v="12"/>
    <x v="130"/>
    <n v="189101404.02000001"/>
    <x v="937"/>
    <x v="936"/>
    <n v="1578537.96"/>
  </r>
  <r>
    <x v="4"/>
    <x v="12"/>
    <x v="130"/>
    <n v="8701695.1500000004"/>
    <x v="938"/>
    <x v="937"/>
    <n v="587711.28"/>
  </r>
  <r>
    <x v="5"/>
    <x v="12"/>
    <x v="130"/>
    <n v="8530578.5700000003"/>
    <x v="939"/>
    <x v="938"/>
    <n v="1646736.36"/>
  </r>
  <r>
    <x v="1"/>
    <x v="12"/>
    <x v="130"/>
    <n v="23313412.399999999"/>
    <x v="940"/>
    <x v="939"/>
    <n v="22853632.329999998"/>
  </r>
  <r>
    <x v="3"/>
    <x v="12"/>
    <x v="130"/>
    <n v="8145239"/>
    <x v="941"/>
    <x v="940"/>
    <n v="1191737.82"/>
  </r>
  <r>
    <x v="6"/>
    <x v="12"/>
    <x v="130"/>
    <n v="395788.09"/>
    <x v="942"/>
    <x v="941"/>
    <n v="298983.62"/>
  </r>
  <r>
    <x v="0"/>
    <x v="12"/>
    <x v="130"/>
    <n v="3768732.4"/>
    <x v="943"/>
    <x v="942"/>
    <n v="1140871.8400000001"/>
  </r>
  <r>
    <x v="0"/>
    <x v="12"/>
    <x v="131"/>
    <n v="13759237"/>
    <x v="944"/>
    <x v="943"/>
    <n v="6482952.6900000004"/>
  </r>
  <r>
    <x v="2"/>
    <x v="12"/>
    <x v="131"/>
    <n v="11942637.619999999"/>
    <x v="945"/>
    <x v="944"/>
    <n v="10290778.470000001"/>
  </r>
  <r>
    <x v="1"/>
    <x v="12"/>
    <x v="131"/>
    <n v="968322140.27999997"/>
    <x v="946"/>
    <x v="945"/>
    <n v="75535105.409999996"/>
  </r>
  <r>
    <x v="5"/>
    <x v="12"/>
    <x v="131"/>
    <n v="31259070.710000001"/>
    <x v="947"/>
    <x v="946"/>
    <n v="6443192.8200000003"/>
  </r>
  <r>
    <x v="4"/>
    <x v="12"/>
    <x v="131"/>
    <n v="16387899.279999999"/>
    <x v="948"/>
    <x v="947"/>
    <n v="3578782.29"/>
  </r>
  <r>
    <x v="6"/>
    <x v="12"/>
    <x v="131"/>
    <n v="24015184.050000001"/>
    <x v="949"/>
    <x v="948"/>
    <n v="4089308.95"/>
  </r>
  <r>
    <x v="7"/>
    <x v="12"/>
    <x v="131"/>
    <n v="8601370.0500000007"/>
    <x v="950"/>
    <x v="949"/>
    <n v="4698383.4400000004"/>
  </r>
  <r>
    <x v="3"/>
    <x v="12"/>
    <x v="131"/>
    <n v="22555395.010000002"/>
    <x v="951"/>
    <x v="950"/>
    <n v="7595410.4900000002"/>
  </r>
  <r>
    <x v="3"/>
    <x v="12"/>
    <x v="132"/>
    <n v="31854413.690000001"/>
    <x v="952"/>
    <x v="951"/>
    <n v="489738.95"/>
  </r>
  <r>
    <x v="6"/>
    <x v="12"/>
    <x v="132"/>
    <n v="1222567.8999999999"/>
    <x v="953"/>
    <x v="952"/>
    <n v="286182.21000000002"/>
  </r>
  <r>
    <x v="4"/>
    <x v="12"/>
    <x v="132"/>
    <n v="2589397.9300000002"/>
    <x v="954"/>
    <x v="953"/>
    <n v="662263.85"/>
  </r>
  <r>
    <x v="7"/>
    <x v="12"/>
    <x v="132"/>
    <n v="13393097.119999999"/>
    <x v="955"/>
    <x v="954"/>
    <n v="1451884.87"/>
  </r>
  <r>
    <x v="2"/>
    <x v="12"/>
    <x v="132"/>
    <n v="68780757.760000005"/>
    <x v="956"/>
    <x v="955"/>
    <n v="3945586.06"/>
  </r>
  <r>
    <x v="1"/>
    <x v="12"/>
    <x v="132"/>
    <n v="11057834.119999999"/>
    <x v="957"/>
    <x v="956"/>
    <n v="9694771.4399999995"/>
  </r>
  <r>
    <x v="0"/>
    <x v="12"/>
    <x v="132"/>
    <n v="2146344.91"/>
    <x v="958"/>
    <x v="957"/>
    <n v="1026116.99"/>
  </r>
  <r>
    <x v="5"/>
    <x v="12"/>
    <x v="132"/>
    <n v="7340029.9000000004"/>
    <x v="959"/>
    <x v="958"/>
    <n v="1824347.6"/>
  </r>
  <r>
    <x v="7"/>
    <x v="12"/>
    <x v="133"/>
    <n v="2115633.0099999998"/>
    <x v="960"/>
    <x v="959"/>
    <n v="708437.84"/>
  </r>
  <r>
    <x v="4"/>
    <x v="12"/>
    <x v="133"/>
    <n v="2333901.89"/>
    <x v="961"/>
    <x v="960"/>
    <n v="1047243.51"/>
  </r>
  <r>
    <x v="2"/>
    <x v="12"/>
    <x v="133"/>
    <n v="975146.71"/>
    <x v="962"/>
    <x v="961"/>
    <n v="1659136.45"/>
  </r>
  <r>
    <x v="0"/>
    <x v="12"/>
    <x v="133"/>
    <n v="4560209.74"/>
    <x v="963"/>
    <x v="962"/>
    <n v="514292.71"/>
  </r>
  <r>
    <x v="6"/>
    <x v="12"/>
    <x v="133"/>
    <n v="9307326.1999999993"/>
    <x v="964"/>
    <x v="963"/>
    <n v="713813.4"/>
  </r>
  <r>
    <x v="5"/>
    <x v="12"/>
    <x v="133"/>
    <n v="6329435.3700000001"/>
    <x v="965"/>
    <x v="964"/>
    <n v="2386714.2200000002"/>
  </r>
  <r>
    <x v="3"/>
    <x v="12"/>
    <x v="133"/>
    <n v="1349459.38"/>
    <x v="966"/>
    <x v="965"/>
    <n v="1105466.56"/>
  </r>
  <r>
    <x v="1"/>
    <x v="12"/>
    <x v="133"/>
    <n v="93998577.799999997"/>
    <x v="967"/>
    <x v="966"/>
    <n v="7830816.5800000001"/>
  </r>
  <r>
    <x v="7"/>
    <x v="12"/>
    <x v="134"/>
    <n v="4589980.92"/>
    <x v="968"/>
    <x v="967"/>
    <n v="3349257.81"/>
  </r>
  <r>
    <x v="1"/>
    <x v="12"/>
    <x v="134"/>
    <n v="352691560.33999997"/>
    <x v="969"/>
    <x v="968"/>
    <n v="30313904.32"/>
  </r>
  <r>
    <x v="2"/>
    <x v="12"/>
    <x v="134"/>
    <n v="4894203.4800000004"/>
    <x v="970"/>
    <x v="969"/>
    <n v="4239406.6500000004"/>
  </r>
  <r>
    <x v="0"/>
    <x v="12"/>
    <x v="134"/>
    <n v="17165000.870000001"/>
    <x v="971"/>
    <x v="970"/>
    <n v="1584085.62"/>
  </r>
  <r>
    <x v="6"/>
    <x v="12"/>
    <x v="134"/>
    <n v="8109776.3099999996"/>
    <x v="972"/>
    <x v="971"/>
    <n v="761781.13"/>
  </r>
  <r>
    <x v="3"/>
    <x v="12"/>
    <x v="134"/>
    <n v="11203767.390000001"/>
    <x v="973"/>
    <x v="972"/>
    <n v="3368292.16"/>
  </r>
  <r>
    <x v="5"/>
    <x v="12"/>
    <x v="134"/>
    <n v="9058249.5899999999"/>
    <x v="974"/>
    <x v="973"/>
    <n v="2850042.26"/>
  </r>
  <r>
    <x v="4"/>
    <x v="12"/>
    <x v="134"/>
    <n v="10773798.300000001"/>
    <x v="975"/>
    <x v="974"/>
    <n v="1675904.78"/>
  </r>
  <r>
    <x v="3"/>
    <x v="12"/>
    <x v="135"/>
    <n v="20679955.530000001"/>
    <x v="976"/>
    <x v="975"/>
    <n v="2626949.2999999998"/>
  </r>
  <r>
    <x v="2"/>
    <x v="12"/>
    <x v="135"/>
    <n v="12005584.699999999"/>
    <x v="977"/>
    <x v="976"/>
    <n v="6992305.0999999996"/>
  </r>
  <r>
    <x v="5"/>
    <x v="12"/>
    <x v="135"/>
    <n v="47135452.479999997"/>
    <x v="978"/>
    <x v="977"/>
    <n v="4420377.8899999997"/>
  </r>
  <r>
    <x v="0"/>
    <x v="12"/>
    <x v="135"/>
    <n v="2330929.4500000002"/>
    <x v="979"/>
    <x v="978"/>
    <n v="645894.75"/>
  </r>
  <r>
    <x v="1"/>
    <x v="12"/>
    <x v="135"/>
    <n v="743938515.89999998"/>
    <x v="980"/>
    <x v="979"/>
    <n v="63453238.469999999"/>
  </r>
  <r>
    <x v="4"/>
    <x v="12"/>
    <x v="135"/>
    <n v="97526945.019999996"/>
    <x v="981"/>
    <x v="980"/>
    <n v="1970880.18"/>
  </r>
  <r>
    <x v="6"/>
    <x v="12"/>
    <x v="135"/>
    <n v="10875934.140000001"/>
    <x v="982"/>
    <x v="981"/>
    <n v="840956.4"/>
  </r>
  <r>
    <x v="7"/>
    <x v="12"/>
    <x v="135"/>
    <n v="4558394"/>
    <x v="983"/>
    <x v="982"/>
    <n v="6378879.0800000001"/>
  </r>
  <r>
    <x v="0"/>
    <x v="12"/>
    <x v="136"/>
    <n v="89737664.420000002"/>
    <x v="984"/>
    <x v="983"/>
    <n v="1217009.29"/>
  </r>
  <r>
    <x v="1"/>
    <x v="12"/>
    <x v="136"/>
    <n v="193453792.28"/>
    <x v="985"/>
    <x v="984"/>
    <n v="57111252.950000003"/>
  </r>
  <r>
    <x v="4"/>
    <x v="12"/>
    <x v="136"/>
    <n v="56074186.590000004"/>
    <x v="986"/>
    <x v="985"/>
    <n v="2838768.99"/>
  </r>
  <r>
    <x v="7"/>
    <x v="12"/>
    <x v="136"/>
    <n v="21741679.43"/>
    <x v="987"/>
    <x v="986"/>
    <n v="10283736.640000001"/>
  </r>
  <r>
    <x v="2"/>
    <x v="12"/>
    <x v="136"/>
    <n v="63451369.079999998"/>
    <x v="988"/>
    <x v="987"/>
    <n v="7921780.4100000001"/>
  </r>
  <r>
    <x v="5"/>
    <x v="12"/>
    <x v="136"/>
    <n v="60674861.43"/>
    <x v="989"/>
    <x v="988"/>
    <n v="5434952.8899999997"/>
  </r>
  <r>
    <x v="3"/>
    <x v="12"/>
    <x v="136"/>
    <n v="181962816.43000001"/>
    <x v="990"/>
    <x v="989"/>
    <n v="4531858.4000000004"/>
  </r>
  <r>
    <x v="6"/>
    <x v="12"/>
    <x v="136"/>
    <n v="8170258.8899999997"/>
    <x v="991"/>
    <x v="990"/>
    <n v="1871743.9"/>
  </r>
  <r>
    <x v="2"/>
    <x v="12"/>
    <x v="137"/>
    <n v="7862653.9500000002"/>
    <x v="992"/>
    <x v="991"/>
    <n v="11667172.310000001"/>
  </r>
  <r>
    <x v="0"/>
    <x v="12"/>
    <x v="137"/>
    <n v="14996375.73"/>
    <x v="993"/>
    <x v="992"/>
    <n v="2121679.23"/>
  </r>
  <r>
    <x v="6"/>
    <x v="12"/>
    <x v="137"/>
    <n v="38362464.530000001"/>
    <x v="994"/>
    <x v="993"/>
    <n v="4048363.53"/>
  </r>
  <r>
    <x v="1"/>
    <x v="12"/>
    <x v="137"/>
    <n v="613247352.84000003"/>
    <x v="995"/>
    <x v="994"/>
    <n v="52559133.689999998"/>
  </r>
  <r>
    <x v="4"/>
    <x v="12"/>
    <x v="137"/>
    <n v="12510707.51"/>
    <x v="996"/>
    <x v="995"/>
    <n v="3285131.49"/>
  </r>
  <r>
    <x v="5"/>
    <x v="12"/>
    <x v="137"/>
    <n v="27001447.23"/>
    <x v="997"/>
    <x v="996"/>
    <n v="4436713.72"/>
  </r>
  <r>
    <x v="3"/>
    <x v="12"/>
    <x v="137"/>
    <n v="16585145.560000001"/>
    <x v="998"/>
    <x v="997"/>
    <n v="6515107.1699999999"/>
  </r>
  <r>
    <x v="7"/>
    <x v="12"/>
    <x v="137"/>
    <n v="7170344.0499999998"/>
    <x v="999"/>
    <x v="998"/>
    <n v="4790534.55"/>
  </r>
  <r>
    <x v="2"/>
    <x v="12"/>
    <x v="138"/>
    <n v="8356347.0199999996"/>
    <x v="1000"/>
    <x v="999"/>
    <n v="5575665.1399999997"/>
  </r>
  <r>
    <x v="1"/>
    <x v="12"/>
    <x v="138"/>
    <n v="432620235.35000002"/>
    <x v="1001"/>
    <x v="1000"/>
    <n v="35128034.090000004"/>
  </r>
  <r>
    <x v="4"/>
    <x v="12"/>
    <x v="138"/>
    <n v="32331436.829999998"/>
    <x v="1002"/>
    <x v="1001"/>
    <n v="2510971.64"/>
  </r>
  <r>
    <x v="5"/>
    <x v="12"/>
    <x v="138"/>
    <n v="24172376.23"/>
    <x v="1003"/>
    <x v="1002"/>
    <n v="2910667.53"/>
  </r>
  <r>
    <x v="3"/>
    <x v="12"/>
    <x v="138"/>
    <n v="19784827.109999999"/>
    <x v="1004"/>
    <x v="1003"/>
    <n v="2329657.8199999998"/>
  </r>
  <r>
    <x v="0"/>
    <x v="12"/>
    <x v="138"/>
    <n v="7585225.71"/>
    <x v="1005"/>
    <x v="1004"/>
    <n v="2588156.02"/>
  </r>
  <r>
    <x v="6"/>
    <x v="12"/>
    <x v="138"/>
    <n v="10980744.720000001"/>
    <x v="1006"/>
    <x v="1005"/>
    <n v="689240.33"/>
  </r>
  <r>
    <x v="7"/>
    <x v="12"/>
    <x v="138"/>
    <n v="5994729.0800000001"/>
    <x v="1007"/>
    <x v="1006"/>
    <n v="3745554.83"/>
  </r>
  <r>
    <x v="3"/>
    <x v="12"/>
    <x v="139"/>
    <n v="20493123.07"/>
    <x v="1008"/>
    <x v="1007"/>
    <n v="4510350.28"/>
  </r>
  <r>
    <x v="0"/>
    <x v="12"/>
    <x v="139"/>
    <n v="28667562.68"/>
    <x v="1009"/>
    <x v="1008"/>
    <n v="2312871.6800000002"/>
  </r>
  <r>
    <x v="7"/>
    <x v="12"/>
    <x v="139"/>
    <n v="17215294.350000001"/>
    <x v="1010"/>
    <x v="1009"/>
    <n v="1739146.92"/>
  </r>
  <r>
    <x v="6"/>
    <x v="12"/>
    <x v="139"/>
    <n v="4258408.83"/>
    <x v="1011"/>
    <x v="1010"/>
    <n v="1038104.09"/>
  </r>
  <r>
    <x v="1"/>
    <x v="12"/>
    <x v="139"/>
    <n v="16092352.529999999"/>
    <x v="1012"/>
    <x v="1011"/>
    <n v="15131901.439999999"/>
  </r>
  <r>
    <x v="5"/>
    <x v="12"/>
    <x v="139"/>
    <n v="19870119.289999999"/>
    <x v="1013"/>
    <x v="1012"/>
    <n v="4813017.4000000004"/>
  </r>
  <r>
    <x v="2"/>
    <x v="12"/>
    <x v="139"/>
    <n v="21025672.010000002"/>
    <x v="1014"/>
    <x v="1013"/>
    <n v="3542458.26"/>
  </r>
  <r>
    <x v="4"/>
    <x v="12"/>
    <x v="139"/>
    <n v="29112360.670000002"/>
    <x v="1015"/>
    <x v="1014"/>
    <n v="1852233.36"/>
  </r>
  <r>
    <x v="1"/>
    <x v="12"/>
    <x v="140"/>
    <n v="239676542.50999999"/>
    <x v="1016"/>
    <x v="1015"/>
    <n v="21603243.579999998"/>
  </r>
  <r>
    <x v="2"/>
    <x v="12"/>
    <x v="140"/>
    <n v="3570019.74"/>
    <x v="1017"/>
    <x v="1016"/>
    <n v="4164575.46"/>
  </r>
  <r>
    <x v="4"/>
    <x v="12"/>
    <x v="140"/>
    <n v="9717194.3200000003"/>
    <x v="1018"/>
    <x v="1017"/>
    <n v="1297496.08"/>
  </r>
  <r>
    <x v="6"/>
    <x v="12"/>
    <x v="140"/>
    <n v="42716046.829999998"/>
    <x v="1019"/>
    <x v="1018"/>
    <n v="849843.76"/>
  </r>
  <r>
    <x v="3"/>
    <x v="12"/>
    <x v="140"/>
    <n v="4863498.7"/>
    <x v="1020"/>
    <x v="1019"/>
    <n v="1256089.74"/>
  </r>
  <r>
    <x v="7"/>
    <x v="12"/>
    <x v="140"/>
    <n v="3176805.52"/>
    <x v="1021"/>
    <x v="1020"/>
    <n v="2165180.5"/>
  </r>
  <r>
    <x v="5"/>
    <x v="12"/>
    <x v="140"/>
    <n v="17232784.75"/>
    <x v="1022"/>
    <x v="1021"/>
    <n v="2747790.04"/>
  </r>
  <r>
    <x v="0"/>
    <x v="12"/>
    <x v="140"/>
    <n v="7912506.1699999999"/>
    <x v="1023"/>
    <x v="1022"/>
    <n v="1538184"/>
  </r>
  <r>
    <x v="7"/>
    <x v="12"/>
    <x v="141"/>
    <n v="38321367.25"/>
    <x v="1024"/>
    <x v="1023"/>
    <n v="2970777.09"/>
  </r>
  <r>
    <x v="4"/>
    <x v="12"/>
    <x v="141"/>
    <n v="9455490.2899999991"/>
    <x v="1025"/>
    <x v="1024"/>
    <n v="2071163.66"/>
  </r>
  <r>
    <x v="3"/>
    <x v="12"/>
    <x v="141"/>
    <n v="304546589.66000003"/>
    <x v="1026"/>
    <x v="1025"/>
    <n v="2327128.79"/>
  </r>
  <r>
    <x v="2"/>
    <x v="12"/>
    <x v="141"/>
    <n v="37902494.100000001"/>
    <x v="1027"/>
    <x v="1026"/>
    <n v="2711487.98"/>
  </r>
  <r>
    <x v="0"/>
    <x v="12"/>
    <x v="141"/>
    <n v="1975341.93"/>
    <x v="1028"/>
    <x v="1027"/>
    <n v="1570240.94"/>
  </r>
  <r>
    <x v="1"/>
    <x v="12"/>
    <x v="141"/>
    <n v="38131693"/>
    <x v="1029"/>
    <x v="1028"/>
    <n v="31228030.43"/>
  </r>
  <r>
    <x v="6"/>
    <x v="12"/>
    <x v="141"/>
    <n v="3947853.34"/>
    <x v="1030"/>
    <x v="1029"/>
    <n v="1435685.96"/>
  </r>
  <r>
    <x v="5"/>
    <x v="12"/>
    <x v="141"/>
    <n v="54252581.170000002"/>
    <x v="1031"/>
    <x v="1030"/>
    <n v="2240674.46"/>
  </r>
  <r>
    <x v="6"/>
    <x v="12"/>
    <x v="142"/>
    <n v="2217947.8199999998"/>
    <x v="1032"/>
    <x v="1031"/>
    <n v="577499.42000000004"/>
  </r>
  <r>
    <x v="2"/>
    <x v="12"/>
    <x v="142"/>
    <n v="6023316.0499999998"/>
    <x v="1033"/>
    <x v="1032"/>
    <n v="2693803.95"/>
  </r>
  <r>
    <x v="4"/>
    <x v="12"/>
    <x v="142"/>
    <n v="64338502.090000004"/>
    <x v="1034"/>
    <x v="1033"/>
    <n v="549773.61"/>
  </r>
  <r>
    <x v="1"/>
    <x v="12"/>
    <x v="142"/>
    <n v="473977948.14999998"/>
    <x v="1035"/>
    <x v="1034"/>
    <n v="38419281.270000003"/>
  </r>
  <r>
    <x v="3"/>
    <x v="12"/>
    <x v="142"/>
    <n v="10051993.42"/>
    <x v="1036"/>
    <x v="1035"/>
    <n v="1629071.8"/>
  </r>
  <r>
    <x v="5"/>
    <x v="12"/>
    <x v="142"/>
    <n v="29004893.899999999"/>
    <x v="1037"/>
    <x v="1036"/>
    <n v="2343227.19"/>
  </r>
  <r>
    <x v="7"/>
    <x v="12"/>
    <x v="142"/>
    <n v="4221166.38"/>
    <x v="1038"/>
    <x v="1037"/>
    <n v="1507936.2"/>
  </r>
  <r>
    <x v="0"/>
    <x v="12"/>
    <x v="142"/>
    <n v="5109461.58"/>
    <x v="1039"/>
    <x v="1038"/>
    <n v="636543.34"/>
  </r>
  <r>
    <x v="4"/>
    <x v="12"/>
    <x v="143"/>
    <n v="29114834.949999999"/>
    <x v="1040"/>
    <x v="1039"/>
    <n v="1074241.67"/>
  </r>
  <r>
    <x v="3"/>
    <x v="12"/>
    <x v="143"/>
    <n v="8777739.8499999996"/>
    <x v="1041"/>
    <x v="1040"/>
    <n v="2080223.79"/>
  </r>
  <r>
    <x v="2"/>
    <x v="12"/>
    <x v="143"/>
    <n v="5395894.1799999997"/>
    <x v="1042"/>
    <x v="1041"/>
    <n v="5296065.18"/>
  </r>
  <r>
    <x v="5"/>
    <x v="12"/>
    <x v="143"/>
    <n v="5126479.66"/>
    <x v="1043"/>
    <x v="1042"/>
    <n v="1496419.13"/>
  </r>
  <r>
    <x v="7"/>
    <x v="12"/>
    <x v="143"/>
    <n v="5432335.9900000002"/>
    <x v="1044"/>
    <x v="1043"/>
    <n v="2735108.93"/>
  </r>
  <r>
    <x v="0"/>
    <x v="12"/>
    <x v="143"/>
    <n v="5939623.0899999999"/>
    <x v="1045"/>
    <x v="1044"/>
    <n v="765165.91"/>
  </r>
  <r>
    <x v="6"/>
    <x v="12"/>
    <x v="143"/>
    <n v="7608238.25"/>
    <x v="1046"/>
    <x v="1045"/>
    <n v="286947.24"/>
  </r>
  <r>
    <x v="1"/>
    <x v="12"/>
    <x v="143"/>
    <n v="458265776.44"/>
    <x v="1047"/>
    <x v="1046"/>
    <n v="39390477.840000004"/>
  </r>
  <r>
    <x v="4"/>
    <x v="12"/>
    <x v="144"/>
    <n v="5148597.78"/>
    <x v="1048"/>
    <x v="1047"/>
    <n v="1590574.07"/>
  </r>
  <r>
    <x v="2"/>
    <x v="12"/>
    <x v="144"/>
    <n v="6419502.6699999999"/>
    <x v="1049"/>
    <x v="1048"/>
    <n v="2962357.86"/>
  </r>
  <r>
    <x v="6"/>
    <x v="12"/>
    <x v="144"/>
    <n v="24656277.68"/>
    <x v="1050"/>
    <x v="1049"/>
    <n v="481118.45"/>
  </r>
  <r>
    <x v="3"/>
    <x v="12"/>
    <x v="144"/>
    <n v="9007364.1799999997"/>
    <x v="1051"/>
    <x v="1050"/>
    <n v="860491.33"/>
  </r>
  <r>
    <x v="1"/>
    <x v="12"/>
    <x v="144"/>
    <n v="302765919.95999998"/>
    <x v="1052"/>
    <x v="1051"/>
    <n v="35526819.380000003"/>
  </r>
  <r>
    <x v="7"/>
    <x v="12"/>
    <x v="144"/>
    <n v="1403278.34"/>
    <x v="1053"/>
    <x v="1052"/>
    <n v="1759840.51"/>
  </r>
  <r>
    <x v="5"/>
    <x v="12"/>
    <x v="144"/>
    <n v="66895759.880000003"/>
    <x v="1054"/>
    <x v="1053"/>
    <n v="2162189.79"/>
  </r>
  <r>
    <x v="0"/>
    <x v="12"/>
    <x v="144"/>
    <n v="6418991.1299999999"/>
    <x v="1055"/>
    <x v="1054"/>
    <n v="1451023.24"/>
  </r>
  <r>
    <x v="5"/>
    <x v="12"/>
    <x v="145"/>
    <n v="12222046.25"/>
    <x v="1056"/>
    <x v="1055"/>
    <n v="6632175.1299999999"/>
  </r>
  <r>
    <x v="3"/>
    <x v="12"/>
    <x v="145"/>
    <n v="17099305.629999999"/>
    <x v="1057"/>
    <x v="1056"/>
    <n v="5869411.6100000003"/>
  </r>
  <r>
    <x v="7"/>
    <x v="12"/>
    <x v="145"/>
    <n v="3886992.74"/>
    <x v="1058"/>
    <x v="1057"/>
    <n v="6926051.4100000001"/>
  </r>
  <r>
    <x v="6"/>
    <x v="12"/>
    <x v="145"/>
    <n v="10142616.01"/>
    <x v="1059"/>
    <x v="1058"/>
    <n v="2818293.86"/>
  </r>
  <r>
    <x v="0"/>
    <x v="12"/>
    <x v="145"/>
    <n v="13265666.27"/>
    <x v="1060"/>
    <x v="1059"/>
    <n v="3594590.61"/>
  </r>
  <r>
    <x v="1"/>
    <x v="12"/>
    <x v="145"/>
    <n v="622973993.88"/>
    <x v="1061"/>
    <x v="1060"/>
    <n v="56642995.869999997"/>
  </r>
  <r>
    <x v="2"/>
    <x v="12"/>
    <x v="145"/>
    <n v="8167368.75"/>
    <x v="1062"/>
    <x v="1061"/>
    <n v="9091964.4600000009"/>
  </r>
  <r>
    <x v="4"/>
    <x v="12"/>
    <x v="145"/>
    <n v="9870610.5199999996"/>
    <x v="1063"/>
    <x v="1062"/>
    <n v="8617352.1099999994"/>
  </r>
  <r>
    <x v="2"/>
    <x v="12"/>
    <x v="146"/>
    <n v="321309204.25999999"/>
    <x v="1064"/>
    <x v="1063"/>
    <n v="4234279.45"/>
  </r>
  <r>
    <x v="4"/>
    <x v="12"/>
    <x v="146"/>
    <n v="4899877.16"/>
    <x v="1065"/>
    <x v="1064"/>
    <n v="1091912.8799999999"/>
  </r>
  <r>
    <x v="1"/>
    <x v="12"/>
    <x v="146"/>
    <n v="142668594.93000001"/>
    <x v="1066"/>
    <x v="1065"/>
    <n v="35917911.520000003"/>
  </r>
  <r>
    <x v="3"/>
    <x v="12"/>
    <x v="146"/>
    <n v="8598751.9000000004"/>
    <x v="1067"/>
    <x v="1066"/>
    <n v="1259557.53"/>
  </r>
  <r>
    <x v="7"/>
    <x v="12"/>
    <x v="146"/>
    <n v="5354065.87"/>
    <x v="1068"/>
    <x v="1067"/>
    <n v="3148967.74"/>
  </r>
  <r>
    <x v="5"/>
    <x v="12"/>
    <x v="146"/>
    <n v="16214388.119999999"/>
    <x v="1069"/>
    <x v="1068"/>
    <n v="1513929.73"/>
  </r>
  <r>
    <x v="6"/>
    <x v="12"/>
    <x v="146"/>
    <n v="39848283"/>
    <x v="1070"/>
    <x v="1069"/>
    <n v="2033444.89"/>
  </r>
  <r>
    <x v="0"/>
    <x v="12"/>
    <x v="146"/>
    <n v="4044475.7"/>
    <x v="1071"/>
    <x v="1070"/>
    <n v="1967738.38"/>
  </r>
  <r>
    <x v="1"/>
    <x v="12"/>
    <x v="147"/>
    <n v="164594666.62"/>
    <x v="1072"/>
    <x v="1071"/>
    <n v="16502318.539999999"/>
  </r>
  <r>
    <x v="7"/>
    <x v="12"/>
    <x v="147"/>
    <n v="2391418.1"/>
    <x v="1073"/>
    <x v="1072"/>
    <n v="1251606.6299999999"/>
  </r>
  <r>
    <x v="2"/>
    <x v="12"/>
    <x v="147"/>
    <n v="1694407.39"/>
    <x v="1074"/>
    <x v="1073"/>
    <n v="1531910.21"/>
  </r>
  <r>
    <x v="0"/>
    <x v="12"/>
    <x v="147"/>
    <n v="4804027.26"/>
    <x v="1075"/>
    <x v="1074"/>
    <n v="834087.09"/>
  </r>
  <r>
    <x v="5"/>
    <x v="12"/>
    <x v="147"/>
    <n v="3530830.66"/>
    <x v="1076"/>
    <x v="1075"/>
    <n v="1119565.08"/>
  </r>
  <r>
    <x v="4"/>
    <x v="12"/>
    <x v="147"/>
    <n v="5264523.45"/>
    <x v="1077"/>
    <x v="1076"/>
    <n v="702948.51"/>
  </r>
  <r>
    <x v="3"/>
    <x v="12"/>
    <x v="147"/>
    <n v="8355375.5300000003"/>
    <x v="1078"/>
    <x v="1077"/>
    <n v="1013767.36"/>
  </r>
  <r>
    <x v="6"/>
    <x v="12"/>
    <x v="147"/>
    <n v="1282561.79"/>
    <x v="1079"/>
    <x v="1078"/>
    <n v="496771.34"/>
  </r>
  <r>
    <x v="1"/>
    <x v="12"/>
    <x v="148"/>
    <n v="293304264.92000002"/>
    <x v="1080"/>
    <x v="1079"/>
    <n v="23194994.219999999"/>
  </r>
  <r>
    <x v="4"/>
    <x v="12"/>
    <x v="148"/>
    <n v="5996933.1500000004"/>
    <x v="1081"/>
    <x v="1080"/>
    <n v="2299962.67"/>
  </r>
  <r>
    <x v="2"/>
    <x v="12"/>
    <x v="148"/>
    <n v="3138075.3"/>
    <x v="1082"/>
    <x v="1081"/>
    <n v="3844901.66"/>
  </r>
  <r>
    <x v="6"/>
    <x v="12"/>
    <x v="148"/>
    <n v="4446569"/>
    <x v="1083"/>
    <x v="1082"/>
    <n v="895441.41"/>
  </r>
  <r>
    <x v="7"/>
    <x v="12"/>
    <x v="148"/>
    <n v="2510277.56"/>
    <x v="1084"/>
    <x v="1083"/>
    <n v="2522306.1"/>
  </r>
  <r>
    <x v="3"/>
    <x v="12"/>
    <x v="148"/>
    <n v="7896655.7800000003"/>
    <x v="1085"/>
    <x v="1084"/>
    <n v="2269241.09"/>
  </r>
  <r>
    <x v="5"/>
    <x v="12"/>
    <x v="148"/>
    <n v="7211174.9299999997"/>
    <x v="1086"/>
    <x v="1085"/>
    <n v="1815913.2"/>
  </r>
  <r>
    <x v="0"/>
    <x v="12"/>
    <x v="148"/>
    <n v="4608845.83"/>
    <x v="1087"/>
    <x v="1086"/>
    <n v="1033318.22"/>
  </r>
  <r>
    <x v="2"/>
    <x v="12"/>
    <x v="149"/>
    <n v="6924308.5899999999"/>
    <x v="1088"/>
    <x v="1087"/>
    <n v="5131650.57"/>
  </r>
  <r>
    <x v="6"/>
    <x v="12"/>
    <x v="149"/>
    <n v="7279893.2400000002"/>
    <x v="1089"/>
    <x v="1088"/>
    <n v="867657.27"/>
  </r>
  <r>
    <x v="0"/>
    <x v="12"/>
    <x v="149"/>
    <n v="18677692.09"/>
    <x v="1090"/>
    <x v="1089"/>
    <n v="1496477.3"/>
  </r>
  <r>
    <x v="4"/>
    <x v="12"/>
    <x v="149"/>
    <n v="6708106.5599999996"/>
    <x v="1091"/>
    <x v="1090"/>
    <n v="1604285.26"/>
  </r>
  <r>
    <x v="1"/>
    <x v="12"/>
    <x v="149"/>
    <n v="256519035.33000001"/>
    <x v="1092"/>
    <x v="1091"/>
    <n v="23812955.16"/>
  </r>
  <r>
    <x v="7"/>
    <x v="12"/>
    <x v="149"/>
    <n v="5243908.32"/>
    <x v="1093"/>
    <x v="1092"/>
    <n v="2690775.08"/>
  </r>
  <r>
    <x v="3"/>
    <x v="12"/>
    <x v="149"/>
    <n v="18524439.039999999"/>
    <x v="1094"/>
    <x v="1093"/>
    <n v="4695082.66"/>
  </r>
  <r>
    <x v="5"/>
    <x v="12"/>
    <x v="149"/>
    <n v="6730975.3399999999"/>
    <x v="1095"/>
    <x v="1094"/>
    <n v="5014075.03"/>
  </r>
  <r>
    <x v="1"/>
    <x v="12"/>
    <x v="150"/>
    <n v="225140927.05000001"/>
    <x v="1096"/>
    <x v="1095"/>
    <n v="20981270.809999999"/>
  </r>
  <r>
    <x v="7"/>
    <x v="12"/>
    <x v="150"/>
    <n v="7759431.6500000004"/>
    <x v="1097"/>
    <x v="1096"/>
    <n v="1788553.29"/>
  </r>
  <r>
    <x v="3"/>
    <x v="12"/>
    <x v="150"/>
    <n v="9952000.7799999993"/>
    <x v="1098"/>
    <x v="1097"/>
    <n v="897330.69"/>
  </r>
  <r>
    <x v="4"/>
    <x v="12"/>
    <x v="150"/>
    <n v="10407251.24"/>
    <x v="1099"/>
    <x v="1098"/>
    <n v="318567.12"/>
  </r>
  <r>
    <x v="5"/>
    <x v="12"/>
    <x v="150"/>
    <n v="4339875.1500000004"/>
    <x v="1100"/>
    <x v="1099"/>
    <n v="1084172.3700000001"/>
  </r>
  <r>
    <x v="2"/>
    <x v="12"/>
    <x v="150"/>
    <n v="5144083.04"/>
    <x v="1101"/>
    <x v="1100"/>
    <n v="3504527.24"/>
  </r>
  <r>
    <x v="6"/>
    <x v="12"/>
    <x v="150"/>
    <n v="3440071.04"/>
    <x v="1102"/>
    <x v="1101"/>
    <n v="293530.62"/>
  </r>
  <r>
    <x v="0"/>
    <x v="12"/>
    <x v="150"/>
    <n v="5130154.58"/>
    <x v="1103"/>
    <x v="1102"/>
    <n v="1472976.81"/>
  </r>
  <r>
    <x v="1"/>
    <x v="12"/>
    <x v="151"/>
    <n v="251849654.81"/>
    <x v="1104"/>
    <x v="1103"/>
    <n v="21399568.129999999"/>
  </r>
  <r>
    <x v="7"/>
    <x v="12"/>
    <x v="151"/>
    <n v="3901632.54"/>
    <x v="1105"/>
    <x v="1104"/>
    <n v="1882771.31"/>
  </r>
  <r>
    <x v="4"/>
    <x v="12"/>
    <x v="151"/>
    <n v="13806895.16"/>
    <x v="1106"/>
    <x v="1105"/>
    <n v="917368.68"/>
  </r>
  <r>
    <x v="2"/>
    <x v="12"/>
    <x v="151"/>
    <n v="1624244.83"/>
    <x v="1107"/>
    <x v="1106"/>
    <n v="3144115.45"/>
  </r>
  <r>
    <x v="6"/>
    <x v="12"/>
    <x v="151"/>
    <n v="610239.43000000005"/>
    <x v="1108"/>
    <x v="1107"/>
    <n v="239662.76"/>
  </r>
  <r>
    <x v="3"/>
    <x v="12"/>
    <x v="151"/>
    <n v="6403086.2999999998"/>
    <x v="1109"/>
    <x v="1108"/>
    <n v="1003808.77"/>
  </r>
  <r>
    <x v="0"/>
    <x v="12"/>
    <x v="151"/>
    <n v="3038664.47"/>
    <x v="1110"/>
    <x v="1109"/>
    <n v="622059.44999999995"/>
  </r>
  <r>
    <x v="5"/>
    <x v="12"/>
    <x v="151"/>
    <n v="9858636.0999999996"/>
    <x v="1111"/>
    <x v="1110"/>
    <n v="639931.47"/>
  </r>
  <r>
    <x v="6"/>
    <x v="12"/>
    <x v="152"/>
    <n v="1285292.6599999999"/>
    <x v="1112"/>
    <x v="1111"/>
    <n v="879211.3"/>
  </r>
  <r>
    <x v="7"/>
    <x v="12"/>
    <x v="152"/>
    <n v="8196529.71"/>
    <x v="1113"/>
    <x v="1112"/>
    <n v="2490588.4500000002"/>
  </r>
  <r>
    <x v="4"/>
    <x v="12"/>
    <x v="152"/>
    <n v="29985789.73"/>
    <x v="1114"/>
    <x v="1113"/>
    <n v="1335021.53"/>
  </r>
  <r>
    <x v="5"/>
    <x v="12"/>
    <x v="152"/>
    <n v="4563169.2800000003"/>
    <x v="1115"/>
    <x v="1114"/>
    <n v="2144345.77"/>
  </r>
  <r>
    <x v="0"/>
    <x v="12"/>
    <x v="152"/>
    <n v="11120423.710000001"/>
    <x v="1116"/>
    <x v="1115"/>
    <n v="977923.86"/>
  </r>
  <r>
    <x v="3"/>
    <x v="12"/>
    <x v="152"/>
    <n v="163355948.31"/>
    <x v="1117"/>
    <x v="1116"/>
    <n v="1606047.79"/>
  </r>
  <r>
    <x v="2"/>
    <x v="12"/>
    <x v="152"/>
    <n v="83882862.849999994"/>
    <x v="1118"/>
    <x v="1117"/>
    <n v="4678164.9800000004"/>
  </r>
  <r>
    <x v="1"/>
    <x v="12"/>
    <x v="152"/>
    <n v="73857182.260000005"/>
    <x v="1119"/>
    <x v="1118"/>
    <n v="26756411.640000001"/>
  </r>
  <r>
    <x v="2"/>
    <x v="12"/>
    <x v="153"/>
    <n v="7687889"/>
    <x v="1120"/>
    <x v="1119"/>
    <n v="5397762.7300000004"/>
  </r>
  <r>
    <x v="6"/>
    <x v="12"/>
    <x v="153"/>
    <n v="2134279.31"/>
    <x v="1121"/>
    <x v="1120"/>
    <n v="645328.64000000001"/>
  </r>
  <r>
    <x v="7"/>
    <x v="12"/>
    <x v="153"/>
    <n v="4133156.27"/>
    <x v="1122"/>
    <x v="1121"/>
    <n v="3386527.14"/>
  </r>
  <r>
    <x v="1"/>
    <x v="12"/>
    <x v="153"/>
    <n v="392776348.31999999"/>
    <x v="1123"/>
    <x v="1122"/>
    <n v="39791642.149999999"/>
  </r>
  <r>
    <x v="3"/>
    <x v="12"/>
    <x v="153"/>
    <n v="8223844.7400000002"/>
    <x v="1124"/>
    <x v="1123"/>
    <n v="2305839.52"/>
  </r>
  <r>
    <x v="5"/>
    <x v="12"/>
    <x v="153"/>
    <n v="3567277.93"/>
    <x v="1125"/>
    <x v="1124"/>
    <n v="2597542.9700000002"/>
  </r>
  <r>
    <x v="0"/>
    <x v="12"/>
    <x v="153"/>
    <n v="14766601.210000001"/>
    <x v="1126"/>
    <x v="1125"/>
    <n v="2072557.19"/>
  </r>
  <r>
    <x v="4"/>
    <x v="12"/>
    <x v="153"/>
    <n v="9410613.8499999996"/>
    <x v="1127"/>
    <x v="1126"/>
    <n v="728127.96"/>
  </r>
  <r>
    <x v="0"/>
    <x v="12"/>
    <x v="154"/>
    <n v="4502211.04"/>
    <x v="1128"/>
    <x v="1127"/>
    <n v="2018774.68"/>
  </r>
  <r>
    <x v="5"/>
    <x v="12"/>
    <x v="154"/>
    <n v="25948831.5"/>
    <x v="1129"/>
    <x v="1128"/>
    <n v="1753573.67"/>
  </r>
  <r>
    <x v="6"/>
    <x v="12"/>
    <x v="154"/>
    <n v="6703123.5300000003"/>
    <x v="1130"/>
    <x v="1129"/>
    <n v="791287.84"/>
  </r>
  <r>
    <x v="7"/>
    <x v="12"/>
    <x v="154"/>
    <n v="3812227.39"/>
    <x v="1131"/>
    <x v="1130"/>
    <n v="2085530.72"/>
  </r>
  <r>
    <x v="2"/>
    <x v="12"/>
    <x v="154"/>
    <n v="4701638.01"/>
    <x v="1132"/>
    <x v="1131"/>
    <n v="5104330.9800000004"/>
  </r>
  <r>
    <x v="4"/>
    <x v="12"/>
    <x v="154"/>
    <n v="4930171.1500000004"/>
    <x v="1133"/>
    <x v="1132"/>
    <n v="1460648.19"/>
  </r>
  <r>
    <x v="1"/>
    <x v="12"/>
    <x v="154"/>
    <n v="312901663.81999999"/>
    <x v="1134"/>
    <x v="1133"/>
    <n v="30673855.280000001"/>
  </r>
  <r>
    <x v="3"/>
    <x v="12"/>
    <x v="154"/>
    <n v="8723028.8300000001"/>
    <x v="1135"/>
    <x v="1134"/>
    <n v="2467175.77"/>
  </r>
  <r>
    <x v="5"/>
    <x v="12"/>
    <x v="155"/>
    <n v="259600548.65000001"/>
    <x v="1136"/>
    <x v="1135"/>
    <n v="756328.48"/>
  </r>
  <r>
    <x v="0"/>
    <x v="12"/>
    <x v="155"/>
    <n v="6548199.2300000004"/>
    <x v="1137"/>
    <x v="1136"/>
    <n v="634324.21"/>
  </r>
  <r>
    <x v="7"/>
    <x v="12"/>
    <x v="155"/>
    <n v="3737086.13"/>
    <x v="1138"/>
    <x v="1137"/>
    <n v="6278703.8499999996"/>
  </r>
  <r>
    <x v="4"/>
    <x v="12"/>
    <x v="155"/>
    <n v="14087935.880000001"/>
    <x v="1139"/>
    <x v="1138"/>
    <n v="1031888.35"/>
  </r>
  <r>
    <x v="2"/>
    <x v="12"/>
    <x v="155"/>
    <n v="5155605.04"/>
    <x v="1140"/>
    <x v="1139"/>
    <n v="3011693.46"/>
  </r>
  <r>
    <x v="6"/>
    <x v="12"/>
    <x v="155"/>
    <n v="115276579.62"/>
    <x v="1141"/>
    <x v="1140"/>
    <n v="58198.99"/>
  </r>
  <r>
    <x v="3"/>
    <x v="12"/>
    <x v="155"/>
    <n v="12011167.32"/>
    <x v="1142"/>
    <x v="1141"/>
    <n v="1441195.66"/>
  </r>
  <r>
    <x v="1"/>
    <x v="12"/>
    <x v="155"/>
    <n v="113212051.72"/>
    <x v="1143"/>
    <x v="1142"/>
    <n v="38419470.740000002"/>
  </r>
  <r>
    <x v="6"/>
    <x v="29"/>
    <x v="156"/>
    <n v="142096.91"/>
    <x v="1144"/>
    <x v="1143"/>
    <n v="0"/>
  </r>
  <r>
    <x v="7"/>
    <x v="29"/>
    <x v="156"/>
    <n v="162024590.66999999"/>
    <x v="1145"/>
    <x v="1144"/>
    <n v="1172696.3400000001"/>
  </r>
  <r>
    <x v="1"/>
    <x v="29"/>
    <x v="156"/>
    <n v="34641319.5"/>
    <x v="1146"/>
    <x v="1145"/>
    <n v="24007918.359999999"/>
  </r>
  <r>
    <x v="2"/>
    <x v="29"/>
    <x v="156"/>
    <n v="5577919.7199999997"/>
    <x v="1147"/>
    <x v="1146"/>
    <n v="782073.8"/>
  </r>
  <r>
    <x v="4"/>
    <x v="29"/>
    <x v="156"/>
    <n v="15584191.75"/>
    <x v="1148"/>
    <x v="1147"/>
    <n v="2073292.98"/>
  </r>
  <r>
    <x v="3"/>
    <x v="29"/>
    <x v="156"/>
    <n v="309979.98"/>
    <x v="1149"/>
    <x v="1148"/>
    <n v="199090.72"/>
  </r>
  <r>
    <x v="5"/>
    <x v="29"/>
    <x v="156"/>
    <n v="33767576.350000001"/>
    <x v="1150"/>
    <x v="1149"/>
    <n v="1079658.99"/>
  </r>
  <r>
    <x v="0"/>
    <x v="29"/>
    <x v="156"/>
    <n v="98403429.260000005"/>
    <x v="1151"/>
    <x v="1150"/>
    <n v="600.6"/>
  </r>
  <r>
    <x v="7"/>
    <x v="16"/>
    <x v="157"/>
    <n v="176167801.53"/>
    <x v="1152"/>
    <x v="1151"/>
    <n v="11319656.98"/>
  </r>
  <r>
    <x v="1"/>
    <x v="16"/>
    <x v="157"/>
    <n v="1201342924.5599999"/>
    <x v="1153"/>
    <x v="1152"/>
    <n v="92021417.25"/>
  </r>
  <r>
    <x v="3"/>
    <x v="16"/>
    <x v="157"/>
    <n v="25263540.02"/>
    <x v="1154"/>
    <x v="1153"/>
    <n v="19021198.82"/>
  </r>
  <r>
    <x v="6"/>
    <x v="16"/>
    <x v="157"/>
    <n v="61267472.82"/>
    <x v="1155"/>
    <x v="1154"/>
    <n v="7186630.96"/>
  </r>
  <r>
    <x v="0"/>
    <x v="16"/>
    <x v="157"/>
    <n v="19982349.199999999"/>
    <x v="1156"/>
    <x v="1155"/>
    <n v="5126897.29"/>
  </r>
  <r>
    <x v="5"/>
    <x v="16"/>
    <x v="157"/>
    <n v="34953724.060000002"/>
    <x v="1157"/>
    <x v="1156"/>
    <n v="8086821.1699999999"/>
  </r>
  <r>
    <x v="4"/>
    <x v="16"/>
    <x v="157"/>
    <n v="116629816.25"/>
    <x v="1158"/>
    <x v="1157"/>
    <n v="24826184.780000001"/>
  </r>
  <r>
    <x v="2"/>
    <x v="16"/>
    <x v="157"/>
    <n v="-138504540.66"/>
    <x v="1159"/>
    <x v="1158"/>
    <n v="18195973.370000001"/>
  </r>
  <r>
    <x v="1"/>
    <x v="12"/>
    <x v="158"/>
    <n v="109338750.81999999"/>
    <x v="1160"/>
    <x v="1159"/>
    <n v="136406241.65000001"/>
  </r>
  <r>
    <x v="6"/>
    <x v="12"/>
    <x v="158"/>
    <n v="39204221.729999997"/>
    <x v="1161"/>
    <x v="1160"/>
    <n v="53769.06"/>
  </r>
  <r>
    <x v="5"/>
    <x v="12"/>
    <x v="158"/>
    <n v="106236317.45999999"/>
    <x v="1162"/>
    <x v="1161"/>
    <n v="51781884.880000003"/>
  </r>
  <r>
    <x v="2"/>
    <x v="12"/>
    <x v="158"/>
    <n v="173007980.58000001"/>
    <x v="1163"/>
    <x v="1162"/>
    <n v="29918833.260000002"/>
  </r>
  <r>
    <x v="7"/>
    <x v="12"/>
    <x v="158"/>
    <n v="62551734.869999997"/>
    <x v="1164"/>
    <x v="1163"/>
    <n v="65150355.439999998"/>
  </r>
  <r>
    <x v="0"/>
    <x v="12"/>
    <x v="158"/>
    <n v="316819144.01999998"/>
    <x v="1165"/>
    <x v="1164"/>
    <n v="780343.68"/>
  </r>
  <r>
    <x v="4"/>
    <x v="12"/>
    <x v="158"/>
    <n v="64234662.890000001"/>
    <x v="1166"/>
    <x v="1165"/>
    <n v="27420761.399999999"/>
  </r>
  <r>
    <x v="3"/>
    <x v="12"/>
    <x v="158"/>
    <n v="66147107.07"/>
    <x v="1167"/>
    <x v="1166"/>
    <n v="37028591.259999998"/>
  </r>
  <r>
    <x v="2"/>
    <x v="29"/>
    <x v="159"/>
    <n v="62174653.939999998"/>
    <x v="1168"/>
    <x v="1167"/>
    <n v="824722.51"/>
  </r>
  <r>
    <x v="0"/>
    <x v="29"/>
    <x v="159"/>
    <n v="213770374.52000001"/>
    <x v="1169"/>
    <x v="1168"/>
    <n v="255266.1"/>
  </r>
  <r>
    <x v="1"/>
    <x v="29"/>
    <x v="159"/>
    <n v="22969362.93"/>
    <x v="1170"/>
    <x v="1169"/>
    <n v="26015264.190000001"/>
  </r>
  <r>
    <x v="7"/>
    <x v="29"/>
    <x v="159"/>
    <n v="84952090.890000001"/>
    <x v="1171"/>
    <x v="1170"/>
    <n v="5758721.4500000002"/>
  </r>
  <r>
    <x v="4"/>
    <x v="29"/>
    <x v="159"/>
    <n v="65078778.850000001"/>
    <x v="1172"/>
    <x v="1171"/>
    <n v="3541105.74"/>
  </r>
  <r>
    <x v="5"/>
    <x v="29"/>
    <x v="159"/>
    <n v="107132047.73"/>
    <x v="1173"/>
    <x v="1172"/>
    <n v="877183.02"/>
  </r>
  <r>
    <x v="3"/>
    <x v="29"/>
    <x v="159"/>
    <n v="67433276.939999998"/>
    <x v="1174"/>
    <x v="1173"/>
    <n v="803600.61"/>
  </r>
  <r>
    <x v="6"/>
    <x v="29"/>
    <x v="159"/>
    <n v="12184601.529999999"/>
    <x v="1175"/>
    <x v="1174"/>
    <n v="560.47"/>
  </r>
  <r>
    <x v="1"/>
    <x v="18"/>
    <x v="160"/>
    <n v="25081924.48"/>
    <x v="1176"/>
    <x v="1175"/>
    <n v="2650270.5"/>
  </r>
  <r>
    <x v="5"/>
    <x v="18"/>
    <x v="160"/>
    <n v="14609112.380000001"/>
    <x v="1177"/>
    <x v="1176"/>
    <n v="329790.38"/>
  </r>
  <r>
    <x v="7"/>
    <x v="18"/>
    <x v="160"/>
    <n v="-13936044.66"/>
    <x v="1178"/>
    <x v="1177"/>
    <n v="2210046.42"/>
  </r>
  <r>
    <x v="4"/>
    <x v="18"/>
    <x v="160"/>
    <n v="307489"/>
    <x v="1179"/>
    <x v="1178"/>
    <n v="25735.62"/>
  </r>
  <r>
    <x v="0"/>
    <x v="18"/>
    <x v="160"/>
    <n v="61262.76"/>
    <x v="1180"/>
    <x v="1179"/>
    <n v="47695.62"/>
  </r>
  <r>
    <x v="6"/>
    <x v="18"/>
    <x v="160"/>
    <n v="33617.769999999997"/>
    <x v="1181"/>
    <x v="1180"/>
    <n v="366804"/>
  </r>
  <r>
    <x v="3"/>
    <x v="18"/>
    <x v="160"/>
    <n v="344285.68"/>
    <x v="1182"/>
    <x v="1181"/>
    <n v="375964.97"/>
  </r>
  <r>
    <x v="2"/>
    <x v="18"/>
    <x v="160"/>
    <n v="1772115.1"/>
    <x v="1183"/>
    <x v="1182"/>
    <n v="211092.07"/>
  </r>
  <r>
    <x v="0"/>
    <x v="25"/>
    <x v="161"/>
    <n v="660986104.32000005"/>
    <x v="1184"/>
    <x v="1183"/>
    <n v="9222726.2799999993"/>
  </r>
  <r>
    <x v="6"/>
    <x v="25"/>
    <x v="161"/>
    <n v="22373160.870000001"/>
    <x v="1185"/>
    <x v="1184"/>
    <n v="1781810.34"/>
  </r>
  <r>
    <x v="5"/>
    <x v="25"/>
    <x v="161"/>
    <n v="510763548.38"/>
    <x v="1186"/>
    <x v="1185"/>
    <n v="38033401.109999999"/>
  </r>
  <r>
    <x v="1"/>
    <x v="25"/>
    <x v="161"/>
    <n v="92354538060.889999"/>
    <x v="1187"/>
    <x v="1186"/>
    <n v="4136095104.25"/>
  </r>
  <r>
    <x v="2"/>
    <x v="25"/>
    <x v="161"/>
    <n v="196163708.53"/>
    <x v="1188"/>
    <x v="1187"/>
    <n v="91795280.969999999"/>
  </r>
  <r>
    <x v="4"/>
    <x v="25"/>
    <x v="161"/>
    <n v="108341251.81"/>
    <x v="1189"/>
    <x v="1188"/>
    <n v="24974859.170000002"/>
  </r>
  <r>
    <x v="7"/>
    <x v="25"/>
    <x v="161"/>
    <n v="182914110.25"/>
    <x v="1190"/>
    <x v="1189"/>
    <n v="29062225.469999999"/>
  </r>
  <r>
    <x v="3"/>
    <x v="25"/>
    <x v="161"/>
    <n v="890237830.28999996"/>
    <x v="1191"/>
    <x v="1190"/>
    <n v="11590228.73"/>
  </r>
  <r>
    <x v="4"/>
    <x v="19"/>
    <x v="162"/>
    <n v="385540137.11000001"/>
    <x v="1192"/>
    <x v="1191"/>
    <n v="122721878.89"/>
  </r>
  <r>
    <x v="6"/>
    <x v="19"/>
    <x v="162"/>
    <n v="491012232.51999998"/>
    <x v="1193"/>
    <x v="1192"/>
    <n v="250692244.91"/>
  </r>
  <r>
    <x v="1"/>
    <x v="19"/>
    <x v="162"/>
    <n v="303985175.17000002"/>
    <x v="1194"/>
    <x v="1193"/>
    <n v="291529381.77999997"/>
  </r>
  <r>
    <x v="3"/>
    <x v="19"/>
    <x v="162"/>
    <n v="483851469.45999998"/>
    <x v="1195"/>
    <x v="1194"/>
    <n v="343536347.56999999"/>
  </r>
  <r>
    <x v="5"/>
    <x v="19"/>
    <x v="162"/>
    <n v="60621665.5"/>
    <x v="1196"/>
    <x v="1195"/>
    <n v="138877891.88"/>
  </r>
  <r>
    <x v="2"/>
    <x v="19"/>
    <x v="162"/>
    <n v="3035074221.4400001"/>
    <x v="1197"/>
    <x v="1196"/>
    <n v="12550007.529999999"/>
  </r>
  <r>
    <x v="0"/>
    <x v="19"/>
    <x v="162"/>
    <n v="189561119.13"/>
    <x v="1198"/>
    <x v="1197"/>
    <n v="35626805.759999998"/>
  </r>
  <r>
    <x v="7"/>
    <x v="19"/>
    <x v="162"/>
    <n v="308969856.88"/>
    <x v="1199"/>
    <x v="1198"/>
    <n v="20873975.949999999"/>
  </r>
  <r>
    <x v="6"/>
    <x v="1"/>
    <x v="163"/>
    <n v="5274981.8499999996"/>
    <x v="1200"/>
    <x v="1199"/>
    <n v="5129959.4400000004"/>
  </r>
  <r>
    <x v="2"/>
    <x v="1"/>
    <x v="163"/>
    <n v="25478410.640000001"/>
    <x v="1201"/>
    <x v="1200"/>
    <n v="27707833.039999999"/>
  </r>
  <r>
    <x v="0"/>
    <x v="1"/>
    <x v="163"/>
    <n v="163933704.02000001"/>
    <x v="1202"/>
    <x v="1201"/>
    <n v="7080349.4100000001"/>
  </r>
  <r>
    <x v="1"/>
    <x v="1"/>
    <x v="163"/>
    <n v="1904320936.9000001"/>
    <x v="1203"/>
    <x v="1202"/>
    <n v="169616621.81999999"/>
  </r>
  <r>
    <x v="3"/>
    <x v="1"/>
    <x v="163"/>
    <n v="110413662.98"/>
    <x v="1204"/>
    <x v="1203"/>
    <n v="10764501.390000001"/>
  </r>
  <r>
    <x v="5"/>
    <x v="1"/>
    <x v="163"/>
    <n v="239057284.93000001"/>
    <x v="1205"/>
    <x v="1204"/>
    <n v="29436318.449999999"/>
  </r>
  <r>
    <x v="4"/>
    <x v="1"/>
    <x v="163"/>
    <n v="199562905.41"/>
    <x v="1206"/>
    <x v="1205"/>
    <n v="15375141.08"/>
  </r>
  <r>
    <x v="7"/>
    <x v="1"/>
    <x v="163"/>
    <n v="38423587.579999998"/>
    <x v="1207"/>
    <x v="1206"/>
    <n v="22944936.18"/>
  </r>
  <r>
    <x v="7"/>
    <x v="7"/>
    <x v="164"/>
    <n v="3113318.01"/>
    <x v="1208"/>
    <x v="329"/>
    <n v="350000"/>
  </r>
  <r>
    <x v="2"/>
    <x v="7"/>
    <x v="164"/>
    <n v="49195082.280000001"/>
    <x v="1209"/>
    <x v="1207"/>
    <n v="1795834.95"/>
  </r>
  <r>
    <x v="0"/>
    <x v="7"/>
    <x v="164"/>
    <n v="52982321.479999997"/>
    <x v="1210"/>
    <x v="1208"/>
    <n v="3578078.37"/>
  </r>
  <r>
    <x v="3"/>
    <x v="7"/>
    <x v="164"/>
    <n v="29525350.75"/>
    <x v="1211"/>
    <x v="1209"/>
    <n v="9646587.9199999999"/>
  </r>
  <r>
    <x v="1"/>
    <x v="7"/>
    <x v="164"/>
    <n v="74746.600000000006"/>
    <x v="329"/>
    <x v="329"/>
    <n v="3518949.52"/>
  </r>
  <r>
    <x v="6"/>
    <x v="7"/>
    <x v="164"/>
    <n v="21458412.050000001"/>
    <x v="1212"/>
    <x v="1210"/>
    <n v="1185458.33"/>
  </r>
  <r>
    <x v="5"/>
    <x v="7"/>
    <x v="164"/>
    <n v="15564818.1"/>
    <x v="1213"/>
    <x v="1211"/>
    <n v="2162580.7200000002"/>
  </r>
  <r>
    <x v="4"/>
    <x v="7"/>
    <x v="164"/>
    <n v="9693007.5099999998"/>
    <x v="1214"/>
    <x v="1212"/>
    <n v="9573994.1199999992"/>
  </r>
  <r>
    <x v="5"/>
    <x v="9"/>
    <x v="165"/>
    <n v="69690052.730000004"/>
    <x v="1215"/>
    <x v="1213"/>
    <n v="66060577.57"/>
  </r>
  <r>
    <x v="2"/>
    <x v="9"/>
    <x v="165"/>
    <n v="5869619.6900000004"/>
    <x v="1216"/>
    <x v="1214"/>
    <n v="126175179.29000001"/>
  </r>
  <r>
    <x v="1"/>
    <x v="9"/>
    <x v="165"/>
    <n v="341492658.08999997"/>
    <x v="1217"/>
    <x v="1215"/>
    <n v="82022363.859999999"/>
  </r>
  <r>
    <x v="3"/>
    <x v="9"/>
    <x v="165"/>
    <n v="98332740.010000005"/>
    <x v="1218"/>
    <x v="1216"/>
    <n v="61467155.859999999"/>
  </r>
  <r>
    <x v="4"/>
    <x v="9"/>
    <x v="165"/>
    <n v="145876750.88999999"/>
    <x v="1219"/>
    <x v="1217"/>
    <n v="52780910.659999996"/>
  </r>
  <r>
    <x v="6"/>
    <x v="9"/>
    <x v="165"/>
    <n v="46819491.979999997"/>
    <x v="1220"/>
    <x v="1218"/>
    <n v="71377690.319999993"/>
  </r>
  <r>
    <x v="0"/>
    <x v="9"/>
    <x v="165"/>
    <n v="288206539.38"/>
    <x v="1221"/>
    <x v="1219"/>
    <n v="70621957.090000004"/>
  </r>
  <r>
    <x v="7"/>
    <x v="9"/>
    <x v="165"/>
    <n v="18320452.899999999"/>
    <x v="1222"/>
    <x v="1220"/>
    <n v="117812349.40000001"/>
  </r>
  <r>
    <x v="0"/>
    <x v="12"/>
    <x v="166"/>
    <n v="128177875.41"/>
    <x v="1223"/>
    <x v="1221"/>
    <n v="1155637.1000000001"/>
  </r>
  <r>
    <x v="6"/>
    <x v="12"/>
    <x v="166"/>
    <n v="21947344.850000001"/>
    <x v="1224"/>
    <x v="1222"/>
    <n v="371461.52"/>
  </r>
  <r>
    <x v="2"/>
    <x v="12"/>
    <x v="166"/>
    <n v="56419726.670000002"/>
    <x v="1225"/>
    <x v="1223"/>
    <n v="7890559.1399999997"/>
  </r>
  <r>
    <x v="5"/>
    <x v="12"/>
    <x v="166"/>
    <n v="111526443.20999999"/>
    <x v="1226"/>
    <x v="1224"/>
    <n v="6005623.5300000003"/>
  </r>
  <r>
    <x v="1"/>
    <x v="12"/>
    <x v="166"/>
    <n v="259872939.59999999"/>
    <x v="1227"/>
    <x v="1225"/>
    <n v="90630160.209999993"/>
  </r>
  <r>
    <x v="3"/>
    <x v="12"/>
    <x v="166"/>
    <n v="109883727.26000001"/>
    <x v="1228"/>
    <x v="1226"/>
    <n v="3160632.44"/>
  </r>
  <r>
    <x v="7"/>
    <x v="12"/>
    <x v="166"/>
    <n v="40454513.409999996"/>
    <x v="1229"/>
    <x v="1227"/>
    <n v="20886818.82"/>
  </r>
  <r>
    <x v="4"/>
    <x v="12"/>
    <x v="166"/>
    <n v="70443391.920000002"/>
    <x v="1230"/>
    <x v="1228"/>
    <n v="62551862.359999999"/>
  </r>
  <r>
    <x v="7"/>
    <x v="13"/>
    <x v="167"/>
    <n v="30792173866.200001"/>
    <x v="1231"/>
    <x v="1229"/>
    <n v="147086717.94999999"/>
  </r>
  <r>
    <x v="5"/>
    <x v="13"/>
    <x v="167"/>
    <n v="63876665205.029999"/>
    <x v="1232"/>
    <x v="1230"/>
    <n v="103031949.16"/>
  </r>
  <r>
    <x v="6"/>
    <x v="13"/>
    <x v="167"/>
    <n v="16289499522.16"/>
    <x v="1233"/>
    <x v="1231"/>
    <n v="90992946.909999996"/>
  </r>
  <r>
    <x v="1"/>
    <x v="13"/>
    <x v="167"/>
    <n v="974651554946.55005"/>
    <x v="1234"/>
    <x v="1232"/>
    <n v="16082907685.58"/>
  </r>
  <r>
    <x v="0"/>
    <x v="13"/>
    <x v="167"/>
    <n v="41564478906.470001"/>
    <x v="1235"/>
    <x v="1233"/>
    <n v="44246541.960000001"/>
  </r>
  <r>
    <x v="4"/>
    <x v="13"/>
    <x v="167"/>
    <n v="330770258575.75"/>
    <x v="1236"/>
    <x v="1234"/>
    <n v="90708043.340000004"/>
  </r>
  <r>
    <x v="3"/>
    <x v="13"/>
    <x v="167"/>
    <n v="300849262524.27002"/>
    <x v="1237"/>
    <x v="1235"/>
    <n v="147923459.27000001"/>
  </r>
  <r>
    <x v="2"/>
    <x v="13"/>
    <x v="167"/>
    <n v="158515603666.32999"/>
    <x v="1238"/>
    <x v="1236"/>
    <n v="7598938777.2600002"/>
  </r>
  <r>
    <x v="3"/>
    <x v="21"/>
    <x v="168"/>
    <n v="4495414203"/>
    <x v="1239"/>
    <x v="1237"/>
    <n v="142369923.63"/>
  </r>
  <r>
    <x v="1"/>
    <x v="21"/>
    <x v="168"/>
    <n v="17570514885.470001"/>
    <x v="1240"/>
    <x v="1238"/>
    <n v="2181513920.5300002"/>
  </r>
  <r>
    <x v="7"/>
    <x v="21"/>
    <x v="168"/>
    <n v="2064067431.8099999"/>
    <x v="1241"/>
    <x v="1239"/>
    <n v="120716960.04000001"/>
  </r>
  <r>
    <x v="6"/>
    <x v="21"/>
    <x v="168"/>
    <n v="190274511.49000001"/>
    <x v="1242"/>
    <x v="1240"/>
    <n v="7264045.9400000004"/>
  </r>
  <r>
    <x v="0"/>
    <x v="21"/>
    <x v="168"/>
    <n v="302069743.12"/>
    <x v="1243"/>
    <x v="1241"/>
    <n v="53188070.689999998"/>
  </r>
  <r>
    <x v="2"/>
    <x v="21"/>
    <x v="168"/>
    <n v="2677892022.9200001"/>
    <x v="1244"/>
    <x v="1242"/>
    <n v="29780090.760000002"/>
  </r>
  <r>
    <x v="4"/>
    <x v="21"/>
    <x v="168"/>
    <n v="165142811.44999999"/>
    <x v="1245"/>
    <x v="1243"/>
    <n v="105433041.19"/>
  </r>
  <r>
    <x v="5"/>
    <x v="21"/>
    <x v="168"/>
    <n v="745783240.77999997"/>
    <x v="1246"/>
    <x v="1244"/>
    <n v="145834170.24000001"/>
  </r>
  <r>
    <x v="2"/>
    <x v="30"/>
    <x v="169"/>
    <n v="200000"/>
    <x v="1247"/>
    <x v="1245"/>
    <n v="0"/>
  </r>
  <r>
    <x v="3"/>
    <x v="30"/>
    <x v="169"/>
    <n v="145000"/>
    <x v="1248"/>
    <x v="1246"/>
    <n v="0"/>
  </r>
  <r>
    <x v="6"/>
    <x v="30"/>
    <x v="169"/>
    <n v="2576937.88"/>
    <x v="1249"/>
    <x v="1247"/>
    <n v="0"/>
  </r>
  <r>
    <x v="4"/>
    <x v="30"/>
    <x v="169"/>
    <n v="30000"/>
    <x v="1250"/>
    <x v="1248"/>
    <n v="0"/>
  </r>
  <r>
    <x v="5"/>
    <x v="30"/>
    <x v="169"/>
    <n v="130000"/>
    <x v="1251"/>
    <x v="1249"/>
    <n v="1737724.46"/>
  </r>
  <r>
    <x v="0"/>
    <x v="30"/>
    <x v="169"/>
    <n v="4668418"/>
    <x v="1252"/>
    <x v="1250"/>
    <n v="0"/>
  </r>
  <r>
    <x v="7"/>
    <x v="15"/>
    <x v="170"/>
    <n v="95769984.790000007"/>
    <x v="1253"/>
    <x v="1251"/>
    <n v="66185428.979999997"/>
  </r>
  <r>
    <x v="6"/>
    <x v="15"/>
    <x v="170"/>
    <n v="965007918.51999998"/>
    <x v="1254"/>
    <x v="1252"/>
    <n v="222306475.81999999"/>
  </r>
  <r>
    <x v="4"/>
    <x v="15"/>
    <x v="170"/>
    <n v="263622270.66999999"/>
    <x v="1255"/>
    <x v="1253"/>
    <n v="184527850.91999999"/>
  </r>
  <r>
    <x v="0"/>
    <x v="15"/>
    <x v="170"/>
    <n v="595065592.77999997"/>
    <x v="1256"/>
    <x v="1254"/>
    <n v="114658356.56999999"/>
  </r>
  <r>
    <x v="3"/>
    <x v="15"/>
    <x v="170"/>
    <n v="49330955.289999999"/>
    <x v="1257"/>
    <x v="1255"/>
    <n v="307976719.22000003"/>
  </r>
  <r>
    <x v="5"/>
    <x v="15"/>
    <x v="170"/>
    <n v="113935319.18000001"/>
    <x v="1258"/>
    <x v="1256"/>
    <n v="416953973.36000001"/>
  </r>
  <r>
    <x v="1"/>
    <x v="15"/>
    <x v="170"/>
    <n v="58722363.829999998"/>
    <x v="1259"/>
    <x v="1257"/>
    <n v="43488905.719999999"/>
  </r>
  <r>
    <x v="2"/>
    <x v="15"/>
    <x v="170"/>
    <n v="364572495.06"/>
    <x v="1260"/>
    <x v="1258"/>
    <n v="43405707.479999997"/>
  </r>
  <r>
    <x v="7"/>
    <x v="10"/>
    <x v="171"/>
    <n v="78467750.359999999"/>
    <x v="1261"/>
    <x v="1259"/>
    <n v="7987728.4000000004"/>
  </r>
  <r>
    <x v="4"/>
    <x v="10"/>
    <x v="171"/>
    <n v="28843694.109999999"/>
    <x v="1262"/>
    <x v="1260"/>
    <n v="20089787.010000002"/>
  </r>
  <r>
    <x v="2"/>
    <x v="10"/>
    <x v="171"/>
    <n v="18722339.510000002"/>
    <x v="1263"/>
    <x v="1261"/>
    <n v="22413709.73"/>
  </r>
  <r>
    <x v="5"/>
    <x v="10"/>
    <x v="171"/>
    <n v="82423047.599999994"/>
    <x v="1264"/>
    <x v="1262"/>
    <n v="74023327.219999999"/>
  </r>
  <r>
    <x v="1"/>
    <x v="10"/>
    <x v="171"/>
    <n v="301393211.67000002"/>
    <x v="1265"/>
    <x v="1263"/>
    <n v="51220777.619999997"/>
  </r>
  <r>
    <x v="6"/>
    <x v="10"/>
    <x v="171"/>
    <n v="15519228.869999999"/>
    <x v="1266"/>
    <x v="1264"/>
    <n v="105731378.72"/>
  </r>
  <r>
    <x v="3"/>
    <x v="10"/>
    <x v="171"/>
    <n v="117050867.77"/>
    <x v="1267"/>
    <x v="1265"/>
    <n v="45699389.119999997"/>
  </r>
  <r>
    <x v="0"/>
    <x v="10"/>
    <x v="171"/>
    <n v="54713508.020000003"/>
    <x v="1268"/>
    <x v="1266"/>
    <n v="22776026"/>
  </r>
  <r>
    <x v="2"/>
    <x v="31"/>
    <x v="172"/>
    <n v="1160545.18"/>
    <x v="1269"/>
    <x v="1267"/>
    <n v="0"/>
  </r>
  <r>
    <x v="5"/>
    <x v="31"/>
    <x v="172"/>
    <n v="2150"/>
    <x v="1270"/>
    <x v="1268"/>
    <n v="0"/>
  </r>
  <r>
    <x v="3"/>
    <x v="31"/>
    <x v="172"/>
    <n v="1100.93"/>
    <x v="1271"/>
    <x v="1269"/>
    <n v="933240.66"/>
  </r>
  <r>
    <x v="6"/>
    <x v="31"/>
    <x v="172"/>
    <n v="1239548.1200000001"/>
    <x v="1272"/>
    <x v="1270"/>
    <n v="573000"/>
  </r>
  <r>
    <x v="4"/>
    <x v="31"/>
    <x v="172"/>
    <n v="411.42"/>
    <x v="1273"/>
    <x v="1271"/>
    <n v="0"/>
  </r>
  <r>
    <x v="0"/>
    <x v="31"/>
    <x v="172"/>
    <n v="7978410.2699999996"/>
    <x v="1274"/>
    <x v="1272"/>
    <n v="250000"/>
  </r>
  <r>
    <x v="7"/>
    <x v="25"/>
    <x v="173"/>
    <n v="220000"/>
    <x v="1275"/>
    <x v="1273"/>
    <n v="0"/>
  </r>
  <r>
    <x v="6"/>
    <x v="25"/>
    <x v="173"/>
    <n v="-30000"/>
    <x v="1276"/>
    <x v="1274"/>
    <n v="0"/>
  </r>
  <r>
    <x v="1"/>
    <x v="25"/>
    <x v="173"/>
    <n v="16000"/>
    <x v="1277"/>
    <x v="1275"/>
    <n v="0"/>
  </r>
  <r>
    <x v="3"/>
    <x v="25"/>
    <x v="173"/>
    <n v="476006"/>
    <x v="1278"/>
    <x v="1276"/>
    <n v="0"/>
  </r>
  <r>
    <x v="5"/>
    <x v="25"/>
    <x v="173"/>
    <n v="340303.86"/>
    <x v="1279"/>
    <x v="1277"/>
    <n v="0"/>
  </r>
  <r>
    <x v="4"/>
    <x v="25"/>
    <x v="173"/>
    <n v="1578690.14"/>
    <x v="1280"/>
    <x v="1278"/>
    <n v="0"/>
  </r>
  <r>
    <x v="0"/>
    <x v="25"/>
    <x v="173"/>
    <n v="299937.5"/>
    <x v="1281"/>
    <x v="1279"/>
    <n v="0"/>
  </r>
  <r>
    <x v="2"/>
    <x v="25"/>
    <x v="173"/>
    <n v="341000"/>
    <x v="1282"/>
    <x v="1280"/>
    <n v="0"/>
  </r>
  <r>
    <x v="3"/>
    <x v="4"/>
    <x v="174"/>
    <n v="13179303966.370001"/>
    <x v="1283"/>
    <x v="1281"/>
    <n v="1270361048.71"/>
  </r>
  <r>
    <x v="4"/>
    <x v="4"/>
    <x v="174"/>
    <n v="11966871775.040001"/>
    <x v="1284"/>
    <x v="1282"/>
    <n v="544985889.00999999"/>
  </r>
  <r>
    <x v="5"/>
    <x v="4"/>
    <x v="174"/>
    <n v="11167549273.68"/>
    <x v="1285"/>
    <x v="1283"/>
    <n v="1732518949.55"/>
  </r>
  <r>
    <x v="6"/>
    <x v="4"/>
    <x v="174"/>
    <n v="7458114404.8800001"/>
    <x v="1286"/>
    <x v="1284"/>
    <n v="180971759.46000001"/>
  </r>
  <r>
    <x v="2"/>
    <x v="4"/>
    <x v="174"/>
    <n v="9668940337.6299992"/>
    <x v="1287"/>
    <x v="1285"/>
    <n v="1356518640.3599999"/>
  </r>
  <r>
    <x v="0"/>
    <x v="4"/>
    <x v="174"/>
    <n v="14810875998.92"/>
    <x v="1288"/>
    <x v="1286"/>
    <n v="498398041.69999999"/>
  </r>
  <r>
    <x v="1"/>
    <x v="4"/>
    <x v="174"/>
    <n v="28761655006.759998"/>
    <x v="1289"/>
    <x v="1287"/>
    <n v="4504676463.6000004"/>
  </r>
  <r>
    <x v="7"/>
    <x v="4"/>
    <x v="174"/>
    <n v="9873651766.0400009"/>
    <x v="1290"/>
    <x v="1288"/>
    <n v="2516964600.0900002"/>
  </r>
  <r>
    <x v="6"/>
    <x v="14"/>
    <x v="175"/>
    <n v="395885668.85000002"/>
    <x v="1291"/>
    <x v="1289"/>
    <n v="437672291.74000001"/>
  </r>
  <r>
    <x v="1"/>
    <x v="14"/>
    <x v="175"/>
    <n v="0"/>
    <x v="329"/>
    <x v="329"/>
    <n v="153380570.52000001"/>
  </r>
  <r>
    <x v="7"/>
    <x v="14"/>
    <x v="175"/>
    <n v="0"/>
    <x v="329"/>
    <x v="329"/>
    <n v="304750700"/>
  </r>
  <r>
    <x v="5"/>
    <x v="14"/>
    <x v="175"/>
    <n v="618825.75"/>
    <x v="1292"/>
    <x v="1290"/>
    <n v="58070593.619999997"/>
  </r>
  <r>
    <x v="0"/>
    <x v="14"/>
    <x v="175"/>
    <n v="419599690.38999999"/>
    <x v="1293"/>
    <x v="1291"/>
    <n v="153254488.84999999"/>
  </r>
  <r>
    <x v="2"/>
    <x v="14"/>
    <x v="175"/>
    <n v="203524935.21000001"/>
    <x v="329"/>
    <x v="329"/>
    <n v="527343.25"/>
  </r>
  <r>
    <x v="3"/>
    <x v="14"/>
    <x v="175"/>
    <n v="1281394491.24"/>
    <x v="1294"/>
    <x v="1292"/>
    <n v="444989980.08999997"/>
  </r>
  <r>
    <x v="4"/>
    <x v="14"/>
    <x v="175"/>
    <n v="7142310371.3400002"/>
    <x v="1295"/>
    <x v="1293"/>
    <n v="65528434.880000003"/>
  </r>
  <r>
    <x v="4"/>
    <x v="8"/>
    <x v="176"/>
    <n v="-169331025.88999999"/>
    <x v="1296"/>
    <x v="1294"/>
    <n v="14395905.98"/>
  </r>
  <r>
    <x v="0"/>
    <x v="8"/>
    <x v="176"/>
    <n v="3425272.97"/>
    <x v="1297"/>
    <x v="1295"/>
    <n v="4260577.87"/>
  </r>
  <r>
    <x v="7"/>
    <x v="8"/>
    <x v="176"/>
    <n v="85299601.140000001"/>
    <x v="1298"/>
    <x v="1296"/>
    <n v="29559876.260000002"/>
  </r>
  <r>
    <x v="2"/>
    <x v="8"/>
    <x v="176"/>
    <n v="47507257.460000001"/>
    <x v="1299"/>
    <x v="1297"/>
    <n v="53387173.539999999"/>
  </r>
  <r>
    <x v="1"/>
    <x v="8"/>
    <x v="176"/>
    <n v="17005188.079999998"/>
    <x v="1300"/>
    <x v="1298"/>
    <n v="34618709.939999998"/>
  </r>
  <r>
    <x v="5"/>
    <x v="8"/>
    <x v="176"/>
    <n v="125382289.28"/>
    <x v="1301"/>
    <x v="1299"/>
    <n v="45813722.030000001"/>
  </r>
  <r>
    <x v="3"/>
    <x v="8"/>
    <x v="176"/>
    <n v="40109657.799999997"/>
    <x v="1302"/>
    <x v="1300"/>
    <n v="26086797.010000002"/>
  </r>
  <r>
    <x v="6"/>
    <x v="8"/>
    <x v="176"/>
    <n v="30593970.239999998"/>
    <x v="1303"/>
    <x v="1301"/>
    <n v="901986.5"/>
  </r>
  <r>
    <x v="2"/>
    <x v="32"/>
    <x v="177"/>
    <n v="700500"/>
    <x v="1304"/>
    <x v="1302"/>
    <n v="0"/>
  </r>
  <r>
    <x v="3"/>
    <x v="32"/>
    <x v="177"/>
    <n v="260000"/>
    <x v="1305"/>
    <x v="1303"/>
    <n v="0"/>
  </r>
  <r>
    <x v="5"/>
    <x v="32"/>
    <x v="177"/>
    <n v="0"/>
    <x v="1306"/>
    <x v="1304"/>
    <n v="0"/>
  </r>
  <r>
    <x v="4"/>
    <x v="32"/>
    <x v="177"/>
    <n v="100000"/>
    <x v="1307"/>
    <x v="1305"/>
    <n v="1376000"/>
  </r>
  <r>
    <x v="6"/>
    <x v="32"/>
    <x v="177"/>
    <n v="1701683"/>
    <x v="1308"/>
    <x v="1306"/>
    <n v="2020000"/>
  </r>
  <r>
    <x v="0"/>
    <x v="32"/>
    <x v="177"/>
    <n v="509277.97"/>
    <x v="1309"/>
    <x v="1307"/>
    <n v="16639459.689999999"/>
  </r>
  <r>
    <x v="4"/>
    <x v="20"/>
    <x v="178"/>
    <n v="262947020.47999999"/>
    <x v="1310"/>
    <x v="1308"/>
    <n v="1150175.96"/>
  </r>
  <r>
    <x v="0"/>
    <x v="20"/>
    <x v="178"/>
    <n v="221851264.03"/>
    <x v="1311"/>
    <x v="1309"/>
    <n v="1591999.44"/>
  </r>
  <r>
    <x v="7"/>
    <x v="20"/>
    <x v="178"/>
    <n v="299204178.50999999"/>
    <x v="1312"/>
    <x v="1310"/>
    <n v="24072985.239999998"/>
  </r>
  <r>
    <x v="6"/>
    <x v="20"/>
    <x v="178"/>
    <n v="82523503.650000006"/>
    <x v="1313"/>
    <x v="1311"/>
    <n v="913743.25"/>
  </r>
  <r>
    <x v="2"/>
    <x v="20"/>
    <x v="178"/>
    <n v="350139897.16000003"/>
    <x v="1314"/>
    <x v="1312"/>
    <n v="20243155.809999999"/>
  </r>
  <r>
    <x v="3"/>
    <x v="20"/>
    <x v="178"/>
    <n v="336247876.56999999"/>
    <x v="1315"/>
    <x v="1313"/>
    <n v="6494737.8200000003"/>
  </r>
  <r>
    <x v="1"/>
    <x v="20"/>
    <x v="178"/>
    <n v="476276422.25"/>
    <x v="1316"/>
    <x v="1314"/>
    <n v="103691875.51000001"/>
  </r>
  <r>
    <x v="5"/>
    <x v="20"/>
    <x v="178"/>
    <n v="1115717453.0799999"/>
    <x v="1317"/>
    <x v="1315"/>
    <n v="4650564.16"/>
  </r>
  <r>
    <x v="0"/>
    <x v="3"/>
    <x v="179"/>
    <n v="52625273.460000001"/>
    <x v="1318"/>
    <x v="1316"/>
    <n v="2134.4499999999998"/>
  </r>
  <r>
    <x v="3"/>
    <x v="3"/>
    <x v="179"/>
    <n v="27794544.75"/>
    <x v="1319"/>
    <x v="1317"/>
    <n v="18447.400000000001"/>
  </r>
  <r>
    <x v="5"/>
    <x v="3"/>
    <x v="179"/>
    <n v="43146691.960000001"/>
    <x v="1320"/>
    <x v="1318"/>
    <n v="1034192.41"/>
  </r>
  <r>
    <x v="2"/>
    <x v="3"/>
    <x v="179"/>
    <n v="12075764.24"/>
    <x v="1321"/>
    <x v="1319"/>
    <n v="54583.01"/>
  </r>
  <r>
    <x v="6"/>
    <x v="3"/>
    <x v="179"/>
    <n v="4744157.33"/>
    <x v="1322"/>
    <x v="1320"/>
    <n v="86028.71"/>
  </r>
  <r>
    <x v="4"/>
    <x v="3"/>
    <x v="179"/>
    <n v="2836449.26"/>
    <x v="1323"/>
    <x v="1321"/>
    <n v="246846"/>
  </r>
  <r>
    <x v="1"/>
    <x v="3"/>
    <x v="179"/>
    <n v="187141475.78"/>
    <x v="1324"/>
    <x v="1322"/>
    <n v="15173890.17"/>
  </r>
  <r>
    <x v="7"/>
    <x v="3"/>
    <x v="179"/>
    <n v="7481526.8300000001"/>
    <x v="1325"/>
    <x v="1323"/>
    <n v="8367255.5499999998"/>
  </r>
  <r>
    <x v="2"/>
    <x v="16"/>
    <x v="180"/>
    <n v="2041981.35"/>
    <x v="1326"/>
    <x v="1324"/>
    <n v="6802859.8600000003"/>
  </r>
  <r>
    <x v="4"/>
    <x v="16"/>
    <x v="180"/>
    <n v="13927748.439999999"/>
    <x v="1327"/>
    <x v="1325"/>
    <n v="13710688.24"/>
  </r>
  <r>
    <x v="5"/>
    <x v="16"/>
    <x v="180"/>
    <n v="144247.6"/>
    <x v="1328"/>
    <x v="1326"/>
    <n v="3889374.18"/>
  </r>
  <r>
    <x v="6"/>
    <x v="16"/>
    <x v="180"/>
    <n v="11113532.310000001"/>
    <x v="1329"/>
    <x v="1327"/>
    <n v="2524135.0099999998"/>
  </r>
  <r>
    <x v="0"/>
    <x v="16"/>
    <x v="180"/>
    <n v="137721864.03"/>
    <x v="1330"/>
    <x v="1328"/>
    <n v="6302277.2599999998"/>
  </r>
  <r>
    <x v="3"/>
    <x v="16"/>
    <x v="180"/>
    <n v="470842924.88"/>
    <x v="1331"/>
    <x v="1329"/>
    <n v="4256862.5"/>
  </r>
  <r>
    <x v="6"/>
    <x v="27"/>
    <x v="181"/>
    <n v="797418362.82000005"/>
    <x v="1332"/>
    <x v="1330"/>
    <n v="26471657.27"/>
  </r>
  <r>
    <x v="2"/>
    <x v="27"/>
    <x v="181"/>
    <n v="137508640.84"/>
    <x v="1333"/>
    <x v="1331"/>
    <n v="40611106.409999996"/>
  </r>
  <r>
    <x v="7"/>
    <x v="27"/>
    <x v="181"/>
    <n v="39611660300.690002"/>
    <x v="1334"/>
    <x v="1332"/>
    <n v="98734106.099999994"/>
  </r>
  <r>
    <x v="1"/>
    <x v="27"/>
    <x v="181"/>
    <n v="13421085247.870001"/>
    <x v="1335"/>
    <x v="1333"/>
    <n v="156769408.44999999"/>
  </r>
  <r>
    <x v="4"/>
    <x v="27"/>
    <x v="181"/>
    <n v="825533410.08000004"/>
    <x v="1336"/>
    <x v="1334"/>
    <n v="26936719.539999999"/>
  </r>
  <r>
    <x v="3"/>
    <x v="27"/>
    <x v="181"/>
    <n v="222664265.13999999"/>
    <x v="1337"/>
    <x v="1335"/>
    <n v="33553027.809999999"/>
  </r>
  <r>
    <x v="0"/>
    <x v="27"/>
    <x v="181"/>
    <n v="71145806261.539993"/>
    <x v="1338"/>
    <x v="1336"/>
    <n v="37585686.950000003"/>
  </r>
  <r>
    <x v="5"/>
    <x v="27"/>
    <x v="181"/>
    <n v="46355185056.949997"/>
    <x v="1339"/>
    <x v="1337"/>
    <n v="29205189.850000001"/>
  </r>
  <r>
    <x v="1"/>
    <x v="29"/>
    <x v="182"/>
    <n v="160000"/>
    <x v="329"/>
    <x v="329"/>
    <n v="0"/>
  </r>
  <r>
    <x v="7"/>
    <x v="29"/>
    <x v="182"/>
    <n v="93650"/>
    <x v="329"/>
    <x v="329"/>
    <n v="0"/>
  </r>
  <r>
    <x v="2"/>
    <x v="29"/>
    <x v="182"/>
    <n v="1063824.58"/>
    <x v="1340"/>
    <x v="1338"/>
    <n v="91376.07"/>
  </r>
  <r>
    <x v="5"/>
    <x v="29"/>
    <x v="182"/>
    <n v="253000"/>
    <x v="1341"/>
    <x v="1339"/>
    <n v="4030449.23"/>
  </r>
  <r>
    <x v="4"/>
    <x v="29"/>
    <x v="182"/>
    <n v="907283700.95000005"/>
    <x v="1342"/>
    <x v="1340"/>
    <n v="467341.83"/>
  </r>
  <r>
    <x v="3"/>
    <x v="29"/>
    <x v="182"/>
    <n v="40936"/>
    <x v="1343"/>
    <x v="1341"/>
    <n v="0"/>
  </r>
  <r>
    <x v="6"/>
    <x v="29"/>
    <x v="182"/>
    <n v="6722345.1799999997"/>
    <x v="1344"/>
    <x v="1342"/>
    <n v="0"/>
  </r>
  <r>
    <x v="0"/>
    <x v="29"/>
    <x v="182"/>
    <n v="146733943.11000001"/>
    <x v="1345"/>
    <x v="1343"/>
    <n v="1281.25"/>
  </r>
  <r>
    <x v="1"/>
    <x v="33"/>
    <x v="183"/>
    <n v="1164468.21"/>
    <x v="1346"/>
    <x v="1344"/>
    <n v="62352187.049999997"/>
  </r>
  <r>
    <x v="7"/>
    <x v="33"/>
    <x v="183"/>
    <n v="1783597.55"/>
    <x v="1347"/>
    <x v="1345"/>
    <n v="12486952"/>
  </r>
  <r>
    <x v="4"/>
    <x v="33"/>
    <x v="183"/>
    <n v="271062858.75999999"/>
    <x v="1348"/>
    <x v="1346"/>
    <n v="54904160.659999996"/>
  </r>
  <r>
    <x v="0"/>
    <x v="33"/>
    <x v="183"/>
    <n v="50467162.840000004"/>
    <x v="1349"/>
    <x v="1347"/>
    <n v="40306746.289999999"/>
  </r>
  <r>
    <x v="5"/>
    <x v="33"/>
    <x v="183"/>
    <n v="83993612.469999999"/>
    <x v="1350"/>
    <x v="1348"/>
    <n v="47218964.609999999"/>
  </r>
  <r>
    <x v="2"/>
    <x v="33"/>
    <x v="183"/>
    <n v="4505375.4400000004"/>
    <x v="1351"/>
    <x v="1349"/>
    <n v="17599103.219999999"/>
  </r>
  <r>
    <x v="3"/>
    <x v="33"/>
    <x v="183"/>
    <n v="89213902.890000001"/>
    <x v="1352"/>
    <x v="1350"/>
    <n v="55634965.700000003"/>
  </r>
  <r>
    <x v="6"/>
    <x v="33"/>
    <x v="183"/>
    <n v="30084593.600000001"/>
    <x v="1353"/>
    <x v="1351"/>
    <n v="10807268.18"/>
  </r>
  <r>
    <x v="7"/>
    <x v="6"/>
    <x v="184"/>
    <n v="3827014.82"/>
    <x v="1354"/>
    <x v="1352"/>
    <n v="1523126.79"/>
  </r>
  <r>
    <x v="5"/>
    <x v="6"/>
    <x v="184"/>
    <n v="19308782.579999998"/>
    <x v="1355"/>
    <x v="1353"/>
    <n v="6134050.1600000001"/>
  </r>
  <r>
    <x v="2"/>
    <x v="6"/>
    <x v="184"/>
    <n v="25875774.469999999"/>
    <x v="1356"/>
    <x v="1354"/>
    <n v="1487717.58"/>
  </r>
  <r>
    <x v="4"/>
    <x v="6"/>
    <x v="184"/>
    <n v="2702645.8"/>
    <x v="1357"/>
    <x v="1355"/>
    <n v="3161493.44"/>
  </r>
  <r>
    <x v="0"/>
    <x v="6"/>
    <x v="184"/>
    <n v="5240615.59"/>
    <x v="1358"/>
    <x v="1356"/>
    <n v="1643520.9"/>
  </r>
  <r>
    <x v="3"/>
    <x v="6"/>
    <x v="184"/>
    <n v="2707039.31"/>
    <x v="1359"/>
    <x v="1357"/>
    <n v="2321557.14"/>
  </r>
  <r>
    <x v="1"/>
    <x v="6"/>
    <x v="184"/>
    <n v="121678447.2"/>
    <x v="1360"/>
    <x v="1358"/>
    <n v="11345274.15"/>
  </r>
  <r>
    <x v="6"/>
    <x v="6"/>
    <x v="184"/>
    <n v="6812709.5899999999"/>
    <x v="1361"/>
    <x v="1359"/>
    <n v="3240842.4"/>
  </r>
  <r>
    <x v="0"/>
    <x v="22"/>
    <x v="185"/>
    <n v="6355284.3300000001"/>
    <x v="1362"/>
    <x v="1360"/>
    <n v="48627405"/>
  </r>
  <r>
    <x v="5"/>
    <x v="22"/>
    <x v="185"/>
    <n v="145080480.38999999"/>
    <x v="1363"/>
    <x v="1361"/>
    <n v="576903666.33000004"/>
  </r>
  <r>
    <x v="1"/>
    <x v="22"/>
    <x v="185"/>
    <n v="0"/>
    <x v="329"/>
    <x v="329"/>
    <n v="10000000"/>
  </r>
  <r>
    <x v="2"/>
    <x v="22"/>
    <x v="185"/>
    <n v="138139199.28"/>
    <x v="1364"/>
    <x v="1362"/>
    <n v="436482934.32999998"/>
  </r>
  <r>
    <x v="4"/>
    <x v="22"/>
    <x v="185"/>
    <n v="-5742427.46"/>
    <x v="1365"/>
    <x v="1363"/>
    <n v="44767924.07"/>
  </r>
  <r>
    <x v="3"/>
    <x v="22"/>
    <x v="185"/>
    <n v="27184410.370000001"/>
    <x v="1366"/>
    <x v="1364"/>
    <n v="210783583.12"/>
  </r>
  <r>
    <x v="6"/>
    <x v="22"/>
    <x v="185"/>
    <n v="363205032"/>
    <x v="1367"/>
    <x v="1365"/>
    <n v="11374767.57"/>
  </r>
  <r>
    <x v="1"/>
    <x v="23"/>
    <x v="186"/>
    <n v="624506001.75"/>
    <x v="1368"/>
    <x v="1366"/>
    <n v="175092621.27000001"/>
  </r>
  <r>
    <x v="7"/>
    <x v="23"/>
    <x v="186"/>
    <n v="63831542.130000003"/>
    <x v="1369"/>
    <x v="1367"/>
    <n v="36397276.82"/>
  </r>
  <r>
    <x v="0"/>
    <x v="23"/>
    <x v="186"/>
    <n v="9645794.4199999999"/>
    <x v="1370"/>
    <x v="1368"/>
    <n v="1479900.19"/>
  </r>
  <r>
    <x v="5"/>
    <x v="23"/>
    <x v="186"/>
    <n v="138739536.22"/>
    <x v="1371"/>
    <x v="1369"/>
    <n v="5321632.7699999996"/>
  </r>
  <r>
    <x v="4"/>
    <x v="23"/>
    <x v="186"/>
    <n v="372106329.37"/>
    <x v="1372"/>
    <x v="1370"/>
    <n v="2185139.3199999998"/>
  </r>
  <r>
    <x v="3"/>
    <x v="23"/>
    <x v="186"/>
    <n v="325734514.38"/>
    <x v="1373"/>
    <x v="1371"/>
    <n v="10055599.710000001"/>
  </r>
  <r>
    <x v="2"/>
    <x v="23"/>
    <x v="186"/>
    <n v="854641819.52999997"/>
    <x v="1374"/>
    <x v="1372"/>
    <n v="25745277.43"/>
  </r>
  <r>
    <x v="6"/>
    <x v="23"/>
    <x v="186"/>
    <n v="32651914.629999999"/>
    <x v="1375"/>
    <x v="1373"/>
    <n v="3089831.75"/>
  </r>
  <r>
    <x v="2"/>
    <x v="26"/>
    <x v="187"/>
    <n v="-2412949.7599999998"/>
    <x v="1376"/>
    <x v="1374"/>
    <n v="3336695.86"/>
  </r>
  <r>
    <x v="7"/>
    <x v="26"/>
    <x v="187"/>
    <n v="22131377.77"/>
    <x v="1377"/>
    <x v="1375"/>
    <n v="4096106.75"/>
  </r>
  <r>
    <x v="5"/>
    <x v="26"/>
    <x v="187"/>
    <n v="22244094.25"/>
    <x v="1378"/>
    <x v="1376"/>
    <n v="18118002.850000001"/>
  </r>
  <r>
    <x v="1"/>
    <x v="26"/>
    <x v="187"/>
    <n v="30242720.48"/>
    <x v="1379"/>
    <x v="1377"/>
    <n v="105217812.20999999"/>
  </r>
  <r>
    <x v="0"/>
    <x v="26"/>
    <x v="187"/>
    <n v="6217525.4100000001"/>
    <x v="1380"/>
    <x v="1378"/>
    <n v="44889027.390000001"/>
  </r>
  <r>
    <x v="6"/>
    <x v="26"/>
    <x v="187"/>
    <n v="361363.39"/>
    <x v="1381"/>
    <x v="1379"/>
    <n v="7812414.6500000004"/>
  </r>
  <r>
    <x v="3"/>
    <x v="26"/>
    <x v="187"/>
    <n v="38719812.75"/>
    <x v="1382"/>
    <x v="1380"/>
    <n v="2862266.43"/>
  </r>
  <r>
    <x v="4"/>
    <x v="26"/>
    <x v="187"/>
    <n v="125379779.56"/>
    <x v="1383"/>
    <x v="1381"/>
    <n v="43192396.649999999"/>
  </r>
  <r>
    <x v="1"/>
    <x v="28"/>
    <x v="188"/>
    <n v="58859034.609999999"/>
    <x v="1384"/>
    <x v="1382"/>
    <n v="13301738.15"/>
  </r>
  <r>
    <x v="7"/>
    <x v="28"/>
    <x v="188"/>
    <n v="73951378.900000006"/>
    <x v="1385"/>
    <x v="1383"/>
    <n v="7765520"/>
  </r>
  <r>
    <x v="5"/>
    <x v="28"/>
    <x v="188"/>
    <n v="46193475.82"/>
    <x v="1386"/>
    <x v="1384"/>
    <n v="11777385.859999999"/>
  </r>
  <r>
    <x v="6"/>
    <x v="28"/>
    <x v="188"/>
    <n v="23713839.640000001"/>
    <x v="1387"/>
    <x v="1385"/>
    <n v="14886867.859999999"/>
  </r>
  <r>
    <x v="4"/>
    <x v="28"/>
    <x v="188"/>
    <n v="25264577.300000001"/>
    <x v="1388"/>
    <x v="1386"/>
    <n v="7255148.9900000002"/>
  </r>
  <r>
    <x v="0"/>
    <x v="28"/>
    <x v="188"/>
    <n v="6667163.9199999999"/>
    <x v="1389"/>
    <x v="1387"/>
    <n v="5256660.1900000004"/>
  </r>
  <r>
    <x v="3"/>
    <x v="28"/>
    <x v="188"/>
    <n v="9736884.4199999999"/>
    <x v="1390"/>
    <x v="1388"/>
    <n v="4196219.55"/>
  </r>
  <r>
    <x v="2"/>
    <x v="28"/>
    <x v="188"/>
    <n v="-38916310.850000001"/>
    <x v="1391"/>
    <x v="1389"/>
    <n v="4880622.58"/>
  </r>
  <r>
    <x v="7"/>
    <x v="5"/>
    <x v="189"/>
    <n v="78631289.579999998"/>
    <x v="1392"/>
    <x v="1390"/>
    <n v="6017468.0300000003"/>
  </r>
  <r>
    <x v="1"/>
    <x v="5"/>
    <x v="189"/>
    <n v="54628405.979999997"/>
    <x v="1393"/>
    <x v="1391"/>
    <n v="31017191.829999998"/>
  </r>
  <r>
    <x v="6"/>
    <x v="5"/>
    <x v="189"/>
    <n v="12188067.17"/>
    <x v="1394"/>
    <x v="1392"/>
    <n v="278367.11"/>
  </r>
  <r>
    <x v="4"/>
    <x v="5"/>
    <x v="189"/>
    <n v="49081068.520000003"/>
    <x v="1395"/>
    <x v="1393"/>
    <n v="1149309.6100000001"/>
  </r>
  <r>
    <x v="3"/>
    <x v="5"/>
    <x v="189"/>
    <n v="53248251.789999999"/>
    <x v="1396"/>
    <x v="1394"/>
    <n v="323913.90999999997"/>
  </r>
  <r>
    <x v="0"/>
    <x v="5"/>
    <x v="189"/>
    <n v="31718714.27"/>
    <x v="1397"/>
    <x v="1395"/>
    <n v="215534.88"/>
  </r>
  <r>
    <x v="5"/>
    <x v="5"/>
    <x v="189"/>
    <n v="17014930.98"/>
    <x v="1398"/>
    <x v="1396"/>
    <n v="2166135.2200000002"/>
  </r>
  <r>
    <x v="2"/>
    <x v="5"/>
    <x v="189"/>
    <n v="-2220221.16"/>
    <x v="1399"/>
    <x v="1397"/>
    <n v="6711784.3899999997"/>
  </r>
  <r>
    <x v="0"/>
    <x v="3"/>
    <x v="190"/>
    <n v="2272722.02"/>
    <x v="1400"/>
    <x v="1398"/>
    <n v="155533.95000000001"/>
  </r>
  <r>
    <x v="1"/>
    <x v="3"/>
    <x v="190"/>
    <n v="297110451.75"/>
    <x v="1401"/>
    <x v="1399"/>
    <n v="15534136.24"/>
  </r>
  <r>
    <x v="3"/>
    <x v="3"/>
    <x v="190"/>
    <n v="65130045.170000002"/>
    <x v="1402"/>
    <x v="1400"/>
    <n v="11737.7"/>
  </r>
  <r>
    <x v="7"/>
    <x v="3"/>
    <x v="190"/>
    <n v="8061204.2800000003"/>
    <x v="1403"/>
    <x v="1401"/>
    <n v="623338.43000000005"/>
  </r>
  <r>
    <x v="5"/>
    <x v="3"/>
    <x v="190"/>
    <n v="17682632.75"/>
    <x v="1404"/>
    <x v="1402"/>
    <n v="146023.01"/>
  </r>
  <r>
    <x v="6"/>
    <x v="3"/>
    <x v="190"/>
    <n v="3352714.75"/>
    <x v="1405"/>
    <x v="1403"/>
    <n v="0"/>
  </r>
  <r>
    <x v="4"/>
    <x v="3"/>
    <x v="190"/>
    <n v="4397942.93"/>
    <x v="1406"/>
    <x v="1404"/>
    <n v="6590.5"/>
  </r>
  <r>
    <x v="2"/>
    <x v="3"/>
    <x v="190"/>
    <n v="2737573.48"/>
    <x v="1407"/>
    <x v="1405"/>
    <n v="871776.36"/>
  </r>
  <r>
    <x v="2"/>
    <x v="10"/>
    <x v="191"/>
    <n v="151910977.86000001"/>
    <x v="1408"/>
    <x v="1406"/>
    <n v="51663349.909999996"/>
  </r>
  <r>
    <x v="3"/>
    <x v="10"/>
    <x v="191"/>
    <n v="223250261.72999999"/>
    <x v="1409"/>
    <x v="1407"/>
    <n v="44472251.810000002"/>
  </r>
  <r>
    <x v="1"/>
    <x v="10"/>
    <x v="191"/>
    <n v="5630952215.0100002"/>
    <x v="1410"/>
    <x v="1408"/>
    <n v="488208402.93000001"/>
  </r>
  <r>
    <x v="5"/>
    <x v="10"/>
    <x v="191"/>
    <n v="572088316.76999998"/>
    <x v="1411"/>
    <x v="1409"/>
    <n v="29182307.219999999"/>
  </r>
  <r>
    <x v="7"/>
    <x v="10"/>
    <x v="191"/>
    <n v="102119454.26000001"/>
    <x v="1412"/>
    <x v="1410"/>
    <n v="81566854.519999996"/>
  </r>
  <r>
    <x v="4"/>
    <x v="10"/>
    <x v="191"/>
    <n v="165542021.81"/>
    <x v="1413"/>
    <x v="1411"/>
    <n v="16107980.58"/>
  </r>
  <r>
    <x v="6"/>
    <x v="10"/>
    <x v="191"/>
    <n v="609785501.20000005"/>
    <x v="1414"/>
    <x v="1412"/>
    <n v="28506463.649999999"/>
  </r>
  <r>
    <x v="0"/>
    <x v="10"/>
    <x v="191"/>
    <n v="332125228.31"/>
    <x v="1415"/>
    <x v="1413"/>
    <n v="36442451.920000002"/>
  </r>
  <r>
    <x v="3"/>
    <x v="10"/>
    <x v="192"/>
    <n v="300694284.72000003"/>
    <x v="1416"/>
    <x v="1414"/>
    <n v="20809788.170000002"/>
  </r>
  <r>
    <x v="7"/>
    <x v="10"/>
    <x v="192"/>
    <n v="86177811.719999999"/>
    <x v="1417"/>
    <x v="1415"/>
    <n v="24791234.609999999"/>
  </r>
  <r>
    <x v="5"/>
    <x v="10"/>
    <x v="192"/>
    <n v="25963200.550000001"/>
    <x v="1418"/>
    <x v="1416"/>
    <n v="16624468.5"/>
  </r>
  <r>
    <x v="0"/>
    <x v="10"/>
    <x v="192"/>
    <n v="259112489.36000001"/>
    <x v="1419"/>
    <x v="1417"/>
    <n v="12394074.960000001"/>
  </r>
  <r>
    <x v="6"/>
    <x v="10"/>
    <x v="192"/>
    <n v="354210489.19"/>
    <x v="1420"/>
    <x v="1418"/>
    <n v="11977630.779999999"/>
  </r>
  <r>
    <x v="4"/>
    <x v="10"/>
    <x v="192"/>
    <n v="118415739.91"/>
    <x v="1421"/>
    <x v="1419"/>
    <n v="23228927.850000001"/>
  </r>
  <r>
    <x v="1"/>
    <x v="10"/>
    <x v="192"/>
    <n v="4998337693.6800003"/>
    <x v="1422"/>
    <x v="1420"/>
    <n v="360889207.18000001"/>
  </r>
  <r>
    <x v="2"/>
    <x v="10"/>
    <x v="192"/>
    <n v="64509125.869999997"/>
    <x v="1423"/>
    <x v="1421"/>
    <n v="25664162.16"/>
  </r>
  <r>
    <x v="5"/>
    <x v="18"/>
    <x v="193"/>
    <n v="59868159.469999999"/>
    <x v="1424"/>
    <x v="1422"/>
    <n v="3423374.63"/>
  </r>
  <r>
    <x v="3"/>
    <x v="18"/>
    <x v="193"/>
    <n v="43256500.259999998"/>
    <x v="1425"/>
    <x v="1423"/>
    <n v="1390926.89"/>
  </r>
  <r>
    <x v="7"/>
    <x v="18"/>
    <x v="193"/>
    <n v="23388824.66"/>
    <x v="1426"/>
    <x v="1424"/>
    <n v="11281294.17"/>
  </r>
  <r>
    <x v="2"/>
    <x v="18"/>
    <x v="193"/>
    <n v="342955270.87"/>
    <x v="1427"/>
    <x v="1425"/>
    <n v="6446429.0099999998"/>
  </r>
  <r>
    <x v="1"/>
    <x v="18"/>
    <x v="193"/>
    <n v="550804261.70000005"/>
    <x v="1428"/>
    <x v="1426"/>
    <n v="70625695.180000007"/>
  </r>
  <r>
    <x v="6"/>
    <x v="18"/>
    <x v="193"/>
    <n v="134385759.90000001"/>
    <x v="1429"/>
    <x v="1427"/>
    <n v="17882782.059999999"/>
  </r>
  <r>
    <x v="0"/>
    <x v="18"/>
    <x v="193"/>
    <n v="267062970.87"/>
    <x v="1430"/>
    <x v="1428"/>
    <n v="4607563.95"/>
  </r>
  <r>
    <x v="4"/>
    <x v="18"/>
    <x v="193"/>
    <n v="27010553.25"/>
    <x v="1431"/>
    <x v="1429"/>
    <n v="981947.21"/>
  </r>
  <r>
    <x v="3"/>
    <x v="6"/>
    <x v="194"/>
    <n v="102619.83"/>
    <x v="1432"/>
    <x v="1430"/>
    <n v="291553.99"/>
  </r>
  <r>
    <x v="2"/>
    <x v="6"/>
    <x v="194"/>
    <n v="2729514.68"/>
    <x v="1433"/>
    <x v="1431"/>
    <n v="13473.01"/>
  </r>
  <r>
    <x v="5"/>
    <x v="6"/>
    <x v="194"/>
    <n v="928033.58"/>
    <x v="1434"/>
    <x v="1432"/>
    <n v="439991.52"/>
  </r>
  <r>
    <x v="4"/>
    <x v="6"/>
    <x v="194"/>
    <n v="51213.84"/>
    <x v="1435"/>
    <x v="1433"/>
    <n v="13474.54"/>
  </r>
  <r>
    <x v="7"/>
    <x v="6"/>
    <x v="194"/>
    <n v="109682.12"/>
    <x v="1436"/>
    <x v="1434"/>
    <n v="904643.03"/>
  </r>
  <r>
    <x v="0"/>
    <x v="6"/>
    <x v="194"/>
    <n v="114835.02"/>
    <x v="1437"/>
    <x v="1435"/>
    <n v="1019935.63"/>
  </r>
  <r>
    <x v="1"/>
    <x v="6"/>
    <x v="194"/>
    <n v="166083.26999999999"/>
    <x v="1438"/>
    <x v="1436"/>
    <n v="762107.06"/>
  </r>
  <r>
    <x v="6"/>
    <x v="6"/>
    <x v="194"/>
    <n v="1133184.19"/>
    <x v="1439"/>
    <x v="1437"/>
    <n v="909877.69"/>
  </r>
  <r>
    <x v="4"/>
    <x v="29"/>
    <x v="195"/>
    <n v="15535100"/>
    <x v="1440"/>
    <x v="1438"/>
    <n v="48405.9"/>
  </r>
  <r>
    <x v="1"/>
    <x v="29"/>
    <x v="195"/>
    <n v="85892412.730000004"/>
    <x v="1441"/>
    <x v="1439"/>
    <n v="8200613.9299999997"/>
  </r>
  <r>
    <x v="7"/>
    <x v="29"/>
    <x v="195"/>
    <n v="86178201.120000005"/>
    <x v="1442"/>
    <x v="1440"/>
    <n v="4628855.12"/>
  </r>
  <r>
    <x v="3"/>
    <x v="29"/>
    <x v="195"/>
    <n v="15699302.01"/>
    <x v="1443"/>
    <x v="1441"/>
    <n v="1043938.68"/>
  </r>
  <r>
    <x v="0"/>
    <x v="29"/>
    <x v="195"/>
    <n v="2362138.04"/>
    <x v="1444"/>
    <x v="1442"/>
    <n v="8304.57"/>
  </r>
  <r>
    <x v="2"/>
    <x v="29"/>
    <x v="195"/>
    <n v="-86007199.140000001"/>
    <x v="1445"/>
    <x v="1443"/>
    <n v="1188736.2"/>
  </r>
  <r>
    <x v="6"/>
    <x v="29"/>
    <x v="195"/>
    <n v="1096356.3500000001"/>
    <x v="1446"/>
    <x v="1444"/>
    <n v="2347.35"/>
  </r>
  <r>
    <x v="5"/>
    <x v="29"/>
    <x v="195"/>
    <n v="11514055.49"/>
    <x v="1447"/>
    <x v="1445"/>
    <n v="378888.36"/>
  </r>
  <r>
    <x v="2"/>
    <x v="15"/>
    <x v="196"/>
    <n v="1553877.28"/>
    <x v="1448"/>
    <x v="1446"/>
    <n v="2550512.69"/>
  </r>
  <r>
    <x v="7"/>
    <x v="15"/>
    <x v="196"/>
    <n v="7817063.9400000004"/>
    <x v="1449"/>
    <x v="1447"/>
    <n v="940898.08"/>
  </r>
  <r>
    <x v="0"/>
    <x v="15"/>
    <x v="196"/>
    <n v="179489.33"/>
    <x v="1450"/>
    <x v="1448"/>
    <n v="15568022.029999999"/>
  </r>
  <r>
    <x v="4"/>
    <x v="15"/>
    <x v="196"/>
    <n v="102844571.77"/>
    <x v="1451"/>
    <x v="1449"/>
    <n v="28925207.539999999"/>
  </r>
  <r>
    <x v="3"/>
    <x v="15"/>
    <x v="196"/>
    <n v="4878502.22"/>
    <x v="1452"/>
    <x v="1450"/>
    <n v="14865718.84"/>
  </r>
  <r>
    <x v="6"/>
    <x v="15"/>
    <x v="196"/>
    <n v="132772.38"/>
    <x v="1453"/>
    <x v="1451"/>
    <n v="5844002.3399999999"/>
  </r>
  <r>
    <x v="1"/>
    <x v="15"/>
    <x v="196"/>
    <n v="11630923.689999999"/>
    <x v="1454"/>
    <x v="1452"/>
    <n v="10754473.789999999"/>
  </r>
  <r>
    <x v="5"/>
    <x v="15"/>
    <x v="196"/>
    <n v="1122041.1000000001"/>
    <x v="1455"/>
    <x v="1453"/>
    <n v="17425388.920000002"/>
  </r>
  <r>
    <x v="7"/>
    <x v="13"/>
    <x v="197"/>
    <n v="4313459.97"/>
    <x v="1456"/>
    <x v="1454"/>
    <n v="321028.59000000003"/>
  </r>
  <r>
    <x v="6"/>
    <x v="13"/>
    <x v="197"/>
    <n v="1085283.26"/>
    <x v="1457"/>
    <x v="1455"/>
    <n v="2155.4"/>
  </r>
  <r>
    <x v="1"/>
    <x v="13"/>
    <x v="197"/>
    <n v="226935249.43000001"/>
    <x v="1458"/>
    <x v="1456"/>
    <n v="14602286.02"/>
  </r>
  <r>
    <x v="2"/>
    <x v="13"/>
    <x v="197"/>
    <n v="-1607569.44"/>
    <x v="1459"/>
    <x v="1457"/>
    <n v="696363.21"/>
  </r>
  <r>
    <x v="5"/>
    <x v="13"/>
    <x v="197"/>
    <n v="1467156.24"/>
    <x v="1460"/>
    <x v="1458"/>
    <n v="30576.02"/>
  </r>
  <r>
    <x v="0"/>
    <x v="13"/>
    <x v="197"/>
    <n v="1468128.83"/>
    <x v="1461"/>
    <x v="1459"/>
    <n v="0"/>
  </r>
  <r>
    <x v="4"/>
    <x v="13"/>
    <x v="197"/>
    <n v="2209555.59"/>
    <x v="1462"/>
    <x v="1460"/>
    <n v="0"/>
  </r>
  <r>
    <x v="3"/>
    <x v="13"/>
    <x v="197"/>
    <n v="1918569.78"/>
    <x v="1463"/>
    <x v="1461"/>
    <n v="0"/>
  </r>
  <r>
    <x v="2"/>
    <x v="15"/>
    <x v="198"/>
    <n v="2596576.65"/>
    <x v="1464"/>
    <x v="1462"/>
    <n v="1911731.68"/>
  </r>
  <r>
    <x v="3"/>
    <x v="15"/>
    <x v="198"/>
    <n v="2943389.83"/>
    <x v="1465"/>
    <x v="1463"/>
    <n v="678276.77"/>
  </r>
  <r>
    <x v="1"/>
    <x v="15"/>
    <x v="198"/>
    <n v="2793177.65"/>
    <x v="1466"/>
    <x v="1464"/>
    <n v="2575989.61"/>
  </r>
  <r>
    <x v="5"/>
    <x v="15"/>
    <x v="198"/>
    <n v="3228914.44"/>
    <x v="1467"/>
    <x v="1465"/>
    <n v="12738101.26"/>
  </r>
  <r>
    <x v="0"/>
    <x v="15"/>
    <x v="198"/>
    <n v="3730093.8"/>
    <x v="1468"/>
    <x v="1466"/>
    <n v="16506728.77"/>
  </r>
  <r>
    <x v="7"/>
    <x v="15"/>
    <x v="198"/>
    <n v="2699876.69"/>
    <x v="1469"/>
    <x v="1467"/>
    <n v="661546.96"/>
  </r>
  <r>
    <x v="6"/>
    <x v="15"/>
    <x v="198"/>
    <n v="2186561.71"/>
    <x v="1470"/>
    <x v="1468"/>
    <n v="128646.07"/>
  </r>
  <r>
    <x v="4"/>
    <x v="15"/>
    <x v="198"/>
    <n v="8264457.29"/>
    <x v="1471"/>
    <x v="1469"/>
    <n v="355503.88"/>
  </r>
  <r>
    <x v="2"/>
    <x v="15"/>
    <x v="199"/>
    <n v="3941929.71"/>
    <x v="1472"/>
    <x v="1470"/>
    <n v="844448.11"/>
  </r>
  <r>
    <x v="7"/>
    <x v="15"/>
    <x v="199"/>
    <n v="4074438.67"/>
    <x v="1473"/>
    <x v="1471"/>
    <n v="142931.37"/>
  </r>
  <r>
    <x v="6"/>
    <x v="15"/>
    <x v="199"/>
    <n v="698542.49"/>
    <x v="1474"/>
    <x v="1472"/>
    <n v="2120776"/>
  </r>
  <r>
    <x v="3"/>
    <x v="15"/>
    <x v="199"/>
    <n v="4101326.54"/>
    <x v="1475"/>
    <x v="1473"/>
    <n v="811000"/>
  </r>
  <r>
    <x v="1"/>
    <x v="15"/>
    <x v="199"/>
    <n v="3680828.86"/>
    <x v="1476"/>
    <x v="1474"/>
    <n v="3444047.28"/>
  </r>
  <r>
    <x v="4"/>
    <x v="15"/>
    <x v="199"/>
    <n v="7118994.5999999996"/>
    <x v="1477"/>
    <x v="1475"/>
    <n v="640214.80000000005"/>
  </r>
  <r>
    <x v="0"/>
    <x v="15"/>
    <x v="199"/>
    <n v="3630149.81"/>
    <x v="1478"/>
    <x v="1476"/>
    <n v="251626.57"/>
  </r>
  <r>
    <x v="5"/>
    <x v="15"/>
    <x v="199"/>
    <n v="3707674.31"/>
    <x v="1479"/>
    <x v="1477"/>
    <n v="3670321.57"/>
  </r>
  <r>
    <x v="1"/>
    <x v="25"/>
    <x v="200"/>
    <n v="24536441.359999999"/>
    <x v="1480"/>
    <x v="1478"/>
    <n v="2371328.58"/>
  </r>
  <r>
    <x v="6"/>
    <x v="25"/>
    <x v="200"/>
    <n v="407196"/>
    <x v="1481"/>
    <x v="1479"/>
    <n v="0"/>
  </r>
  <r>
    <x v="7"/>
    <x v="25"/>
    <x v="200"/>
    <n v="1777909"/>
    <x v="1482"/>
    <x v="1480"/>
    <n v="159716.17000000001"/>
  </r>
  <r>
    <x v="0"/>
    <x v="25"/>
    <x v="200"/>
    <n v="2542388.11"/>
    <x v="1483"/>
    <x v="1481"/>
    <n v="1200980.55"/>
  </r>
  <r>
    <x v="2"/>
    <x v="25"/>
    <x v="200"/>
    <n v="5565710.5199999996"/>
    <x v="1484"/>
    <x v="1482"/>
    <n v="498437.93"/>
  </r>
  <r>
    <x v="4"/>
    <x v="25"/>
    <x v="200"/>
    <n v="576956.96"/>
    <x v="1485"/>
    <x v="1483"/>
    <n v="177648"/>
  </r>
  <r>
    <x v="3"/>
    <x v="25"/>
    <x v="200"/>
    <n v="-2201863.73"/>
    <x v="1486"/>
    <x v="1484"/>
    <n v="3601.03"/>
  </r>
  <r>
    <x v="5"/>
    <x v="25"/>
    <x v="200"/>
    <n v="1311241.77"/>
    <x v="1487"/>
    <x v="1485"/>
    <n v="12641.15"/>
  </r>
  <r>
    <x v="3"/>
    <x v="8"/>
    <x v="201"/>
    <n v="197778348.30000001"/>
    <x v="1488"/>
    <x v="1486"/>
    <n v="10343369.949999999"/>
  </r>
  <r>
    <x v="1"/>
    <x v="8"/>
    <x v="201"/>
    <n v="222906574.27000001"/>
    <x v="1489"/>
    <x v="1487"/>
    <n v="36821917.469999999"/>
  </r>
  <r>
    <x v="5"/>
    <x v="8"/>
    <x v="201"/>
    <n v="77230856.730000004"/>
    <x v="1490"/>
    <x v="1488"/>
    <n v="23645255.670000002"/>
  </r>
  <r>
    <x v="2"/>
    <x v="8"/>
    <x v="201"/>
    <n v="-97906240.120000005"/>
    <x v="1491"/>
    <x v="1489"/>
    <n v="44606106.729999997"/>
  </r>
  <r>
    <x v="7"/>
    <x v="8"/>
    <x v="201"/>
    <n v="77273685.379999995"/>
    <x v="1492"/>
    <x v="1490"/>
    <n v="20188963.949999999"/>
  </r>
  <r>
    <x v="6"/>
    <x v="8"/>
    <x v="201"/>
    <n v="3535814.66"/>
    <x v="1493"/>
    <x v="1491"/>
    <n v="444653.56"/>
  </r>
  <r>
    <x v="4"/>
    <x v="8"/>
    <x v="201"/>
    <n v="30115606.68"/>
    <x v="1494"/>
    <x v="1492"/>
    <n v="17845177.789999999"/>
  </r>
  <r>
    <x v="0"/>
    <x v="8"/>
    <x v="201"/>
    <n v="10154286.550000001"/>
    <x v="1495"/>
    <x v="1493"/>
    <n v="971331.91"/>
  </r>
  <r>
    <x v="2"/>
    <x v="12"/>
    <x v="202"/>
    <n v="718963.82"/>
    <x v="1496"/>
    <x v="1494"/>
    <n v="889902.48"/>
  </r>
  <r>
    <x v="6"/>
    <x v="12"/>
    <x v="202"/>
    <n v="5230524.7300000004"/>
    <x v="1497"/>
    <x v="1495"/>
    <n v="54525.79"/>
  </r>
  <r>
    <x v="0"/>
    <x v="12"/>
    <x v="202"/>
    <n v="69516115.430000007"/>
    <x v="1498"/>
    <x v="1496"/>
    <n v="935257.82"/>
  </r>
  <r>
    <x v="5"/>
    <x v="12"/>
    <x v="202"/>
    <n v="4214196.07"/>
    <x v="1499"/>
    <x v="1497"/>
    <n v="842734.67"/>
  </r>
  <r>
    <x v="4"/>
    <x v="12"/>
    <x v="202"/>
    <n v="6714202.5199999996"/>
    <x v="1500"/>
    <x v="1498"/>
    <n v="142860.01999999999"/>
  </r>
  <r>
    <x v="3"/>
    <x v="12"/>
    <x v="202"/>
    <n v="5414375.3200000003"/>
    <x v="1501"/>
    <x v="1499"/>
    <n v="1026398.06"/>
  </r>
  <r>
    <x v="1"/>
    <x v="12"/>
    <x v="202"/>
    <n v="64161148.57"/>
    <x v="1502"/>
    <x v="1500"/>
    <n v="10611799.77"/>
  </r>
  <r>
    <x v="7"/>
    <x v="12"/>
    <x v="202"/>
    <n v="3805988.55"/>
    <x v="1503"/>
    <x v="1501"/>
    <n v="1148814.25"/>
  </r>
  <r>
    <x v="5"/>
    <x v="12"/>
    <x v="203"/>
    <n v="47337373.880000003"/>
    <x v="1504"/>
    <x v="1502"/>
    <n v="3711894.19"/>
  </r>
  <r>
    <x v="1"/>
    <x v="12"/>
    <x v="203"/>
    <n v="1698936242.3900001"/>
    <x v="1505"/>
    <x v="1503"/>
    <n v="118331949.41"/>
  </r>
  <r>
    <x v="3"/>
    <x v="12"/>
    <x v="203"/>
    <n v="63138478.200000003"/>
    <x v="1506"/>
    <x v="1504"/>
    <n v="1675377.09"/>
  </r>
  <r>
    <x v="4"/>
    <x v="12"/>
    <x v="203"/>
    <n v="120199313.69"/>
    <x v="1507"/>
    <x v="1505"/>
    <n v="3203299.12"/>
  </r>
  <r>
    <x v="0"/>
    <x v="12"/>
    <x v="203"/>
    <n v="40079872.950000003"/>
    <x v="1508"/>
    <x v="1506"/>
    <n v="953864.59"/>
  </r>
  <r>
    <x v="6"/>
    <x v="12"/>
    <x v="203"/>
    <n v="30710119.52"/>
    <x v="1509"/>
    <x v="1507"/>
    <n v="368156.8"/>
  </r>
  <r>
    <x v="2"/>
    <x v="12"/>
    <x v="203"/>
    <n v="41006127.549999997"/>
    <x v="1510"/>
    <x v="1508"/>
    <n v="5788837.9699999997"/>
  </r>
  <r>
    <x v="7"/>
    <x v="12"/>
    <x v="203"/>
    <n v="29591321.699999999"/>
    <x v="1511"/>
    <x v="1509"/>
    <n v="7412933.54"/>
  </r>
  <r>
    <x v="5"/>
    <x v="12"/>
    <x v="204"/>
    <n v="8813589.5899999999"/>
    <x v="1512"/>
    <x v="1510"/>
    <n v="3553297.37"/>
  </r>
  <r>
    <x v="1"/>
    <x v="12"/>
    <x v="204"/>
    <n v="23351705.100000001"/>
    <x v="1513"/>
    <x v="1511"/>
    <n v="18011434.25"/>
  </r>
  <r>
    <x v="3"/>
    <x v="12"/>
    <x v="204"/>
    <n v="64845801.719999999"/>
    <x v="1514"/>
    <x v="1512"/>
    <n v="2704308.23"/>
  </r>
  <r>
    <x v="2"/>
    <x v="12"/>
    <x v="204"/>
    <n v="76163121.510000005"/>
    <x v="1515"/>
    <x v="1513"/>
    <n v="5699849.9400000004"/>
  </r>
  <r>
    <x v="7"/>
    <x v="12"/>
    <x v="204"/>
    <n v="43091626.890000001"/>
    <x v="1516"/>
    <x v="1514"/>
    <n v="3087827.29"/>
  </r>
  <r>
    <x v="4"/>
    <x v="12"/>
    <x v="204"/>
    <n v="24002062.359999999"/>
    <x v="1517"/>
    <x v="1515"/>
    <n v="2733602.58"/>
  </r>
  <r>
    <x v="6"/>
    <x v="12"/>
    <x v="204"/>
    <n v="2008248.88"/>
    <x v="1518"/>
    <x v="1516"/>
    <n v="1120739.77"/>
  </r>
  <r>
    <x v="0"/>
    <x v="12"/>
    <x v="204"/>
    <n v="10430366.289999999"/>
    <x v="1519"/>
    <x v="1517"/>
    <n v="3028753.12"/>
  </r>
  <r>
    <x v="6"/>
    <x v="12"/>
    <x v="205"/>
    <n v="2402401.13"/>
    <x v="1520"/>
    <x v="1518"/>
    <n v="79528.69"/>
  </r>
  <r>
    <x v="7"/>
    <x v="12"/>
    <x v="205"/>
    <n v="2378995.52"/>
    <x v="1521"/>
    <x v="1519"/>
    <n v="1082323.72"/>
  </r>
  <r>
    <x v="5"/>
    <x v="12"/>
    <x v="205"/>
    <n v="12270092.810000001"/>
    <x v="1522"/>
    <x v="1520"/>
    <n v="395188.82"/>
  </r>
  <r>
    <x v="0"/>
    <x v="12"/>
    <x v="205"/>
    <n v="22759229.489999998"/>
    <x v="1523"/>
    <x v="1521"/>
    <n v="548408.14"/>
  </r>
  <r>
    <x v="4"/>
    <x v="12"/>
    <x v="205"/>
    <n v="5344221.93"/>
    <x v="1524"/>
    <x v="1522"/>
    <n v="1497758.66"/>
  </r>
  <r>
    <x v="3"/>
    <x v="12"/>
    <x v="205"/>
    <n v="6639688.7199999997"/>
    <x v="1525"/>
    <x v="1523"/>
    <n v="774141.3"/>
  </r>
  <r>
    <x v="1"/>
    <x v="12"/>
    <x v="205"/>
    <n v="118098784.8"/>
    <x v="1526"/>
    <x v="1524"/>
    <n v="10663460.66"/>
  </r>
  <r>
    <x v="2"/>
    <x v="12"/>
    <x v="205"/>
    <n v="3991952.4"/>
    <x v="1527"/>
    <x v="1525"/>
    <n v="3263987.96"/>
  </r>
  <r>
    <x v="4"/>
    <x v="12"/>
    <x v="206"/>
    <n v="172289832.87"/>
    <x v="1528"/>
    <x v="1526"/>
    <n v="1538894.08"/>
  </r>
  <r>
    <x v="1"/>
    <x v="12"/>
    <x v="206"/>
    <n v="1506390343.8299999"/>
    <x v="1529"/>
    <x v="1527"/>
    <n v="149779039.31999999"/>
  </r>
  <r>
    <x v="7"/>
    <x v="12"/>
    <x v="206"/>
    <n v="42116350.82"/>
    <x v="1530"/>
    <x v="1528"/>
    <n v="13399969.029999999"/>
  </r>
  <r>
    <x v="3"/>
    <x v="12"/>
    <x v="206"/>
    <n v="45345032.030000001"/>
    <x v="1531"/>
    <x v="1529"/>
    <n v="2365798.16"/>
  </r>
  <r>
    <x v="2"/>
    <x v="12"/>
    <x v="206"/>
    <n v="35776172.539999999"/>
    <x v="1532"/>
    <x v="1530"/>
    <n v="13203659.029999999"/>
  </r>
  <r>
    <x v="6"/>
    <x v="12"/>
    <x v="206"/>
    <n v="6855463.5499999998"/>
    <x v="1533"/>
    <x v="1531"/>
    <n v="1168912.48"/>
  </r>
  <r>
    <x v="0"/>
    <x v="12"/>
    <x v="206"/>
    <n v="17109370.620000001"/>
    <x v="1534"/>
    <x v="1532"/>
    <n v="1346065.77"/>
  </r>
  <r>
    <x v="5"/>
    <x v="12"/>
    <x v="206"/>
    <n v="14441237.279999999"/>
    <x v="1535"/>
    <x v="1533"/>
    <n v="1403610.55"/>
  </r>
  <r>
    <x v="3"/>
    <x v="12"/>
    <x v="207"/>
    <n v="22244117.329999998"/>
    <x v="1536"/>
    <x v="1534"/>
    <n v="4118183.13"/>
  </r>
  <r>
    <x v="7"/>
    <x v="12"/>
    <x v="207"/>
    <n v="11703181.210000001"/>
    <x v="1537"/>
    <x v="1535"/>
    <n v="3392924.76"/>
  </r>
  <r>
    <x v="1"/>
    <x v="12"/>
    <x v="207"/>
    <n v="937809834.90999997"/>
    <x v="1538"/>
    <x v="1536"/>
    <n v="69826633.760000005"/>
  </r>
  <r>
    <x v="2"/>
    <x v="12"/>
    <x v="207"/>
    <n v="-6122811.0300000003"/>
    <x v="1539"/>
    <x v="1537"/>
    <n v="12999604.74"/>
  </r>
  <r>
    <x v="0"/>
    <x v="12"/>
    <x v="207"/>
    <n v="36682.68"/>
    <x v="1540"/>
    <x v="1538"/>
    <n v="1551701.41"/>
  </r>
  <r>
    <x v="5"/>
    <x v="12"/>
    <x v="207"/>
    <n v="36260968.880000003"/>
    <x v="1541"/>
    <x v="1539"/>
    <n v="3224372.38"/>
  </r>
  <r>
    <x v="6"/>
    <x v="12"/>
    <x v="207"/>
    <n v="13157597.58"/>
    <x v="1542"/>
    <x v="1540"/>
    <n v="721886.33"/>
  </r>
  <r>
    <x v="4"/>
    <x v="12"/>
    <x v="207"/>
    <n v="58975331.109999999"/>
    <x v="1543"/>
    <x v="1541"/>
    <n v="6778098.0300000003"/>
  </r>
  <r>
    <x v="7"/>
    <x v="12"/>
    <x v="208"/>
    <n v="1191836.25"/>
    <x v="1544"/>
    <x v="1542"/>
    <n v="1346718.34"/>
  </r>
  <r>
    <x v="6"/>
    <x v="12"/>
    <x v="208"/>
    <n v="1615235.66"/>
    <x v="1545"/>
    <x v="1543"/>
    <n v="551216.82999999996"/>
  </r>
  <r>
    <x v="1"/>
    <x v="12"/>
    <x v="208"/>
    <n v="172217715.69999999"/>
    <x v="1546"/>
    <x v="1544"/>
    <n v="18771193.449999999"/>
  </r>
  <r>
    <x v="5"/>
    <x v="12"/>
    <x v="208"/>
    <n v="1238540.5900000001"/>
    <x v="1547"/>
    <x v="1545"/>
    <n v="2002713.47"/>
  </r>
  <r>
    <x v="0"/>
    <x v="12"/>
    <x v="208"/>
    <n v="13288311.99"/>
    <x v="1548"/>
    <x v="1546"/>
    <n v="542829.75"/>
  </r>
  <r>
    <x v="2"/>
    <x v="12"/>
    <x v="208"/>
    <n v="2815658.03"/>
    <x v="1549"/>
    <x v="1547"/>
    <n v="3500979.37"/>
  </r>
  <r>
    <x v="4"/>
    <x v="12"/>
    <x v="208"/>
    <n v="19704552.98"/>
    <x v="1550"/>
    <x v="1548"/>
    <n v="876028.39"/>
  </r>
  <r>
    <x v="3"/>
    <x v="12"/>
    <x v="208"/>
    <n v="13768786.93"/>
    <x v="1551"/>
    <x v="1549"/>
    <n v="1057523.8700000001"/>
  </r>
  <r>
    <x v="0"/>
    <x v="12"/>
    <x v="209"/>
    <n v="28074545.710000001"/>
    <x v="1552"/>
    <x v="1550"/>
    <n v="653952.65"/>
  </r>
  <r>
    <x v="3"/>
    <x v="12"/>
    <x v="209"/>
    <n v="5964197.21"/>
    <x v="1553"/>
    <x v="1551"/>
    <n v="1992261.21"/>
  </r>
  <r>
    <x v="4"/>
    <x v="12"/>
    <x v="209"/>
    <n v="21292728.530000001"/>
    <x v="1554"/>
    <x v="1552"/>
    <n v="5657562.2000000002"/>
  </r>
  <r>
    <x v="5"/>
    <x v="12"/>
    <x v="209"/>
    <n v="3011169.57"/>
    <x v="1555"/>
    <x v="1553"/>
    <n v="3061368.91"/>
  </r>
  <r>
    <x v="2"/>
    <x v="12"/>
    <x v="209"/>
    <n v="12529371.09"/>
    <x v="1556"/>
    <x v="1554"/>
    <n v="3649745.94"/>
  </r>
  <r>
    <x v="6"/>
    <x v="12"/>
    <x v="209"/>
    <n v="3184667.1"/>
    <x v="1557"/>
    <x v="1555"/>
    <n v="825559.77"/>
  </r>
  <r>
    <x v="7"/>
    <x v="12"/>
    <x v="209"/>
    <n v="5816085.7199999997"/>
    <x v="1558"/>
    <x v="1556"/>
    <n v="2522561.11"/>
  </r>
  <r>
    <x v="1"/>
    <x v="12"/>
    <x v="209"/>
    <n v="748725364.53999996"/>
    <x v="1559"/>
    <x v="1557"/>
    <n v="62145387.950000003"/>
  </r>
  <r>
    <x v="2"/>
    <x v="12"/>
    <x v="210"/>
    <n v="30927325.75"/>
    <x v="1560"/>
    <x v="1558"/>
    <n v="1415014.34"/>
  </r>
  <r>
    <x v="6"/>
    <x v="12"/>
    <x v="210"/>
    <n v="941057.97"/>
    <x v="1561"/>
    <x v="1559"/>
    <n v="16653.03"/>
  </r>
  <r>
    <x v="3"/>
    <x v="12"/>
    <x v="210"/>
    <n v="3754732.99"/>
    <x v="1562"/>
    <x v="1560"/>
    <n v="615367.88"/>
  </r>
  <r>
    <x v="0"/>
    <x v="12"/>
    <x v="210"/>
    <n v="47979507.710000001"/>
    <x v="1563"/>
    <x v="1561"/>
    <n v="459781.27"/>
  </r>
  <r>
    <x v="1"/>
    <x v="12"/>
    <x v="210"/>
    <n v="8653594.4000000004"/>
    <x v="1564"/>
    <x v="1562"/>
    <n v="7608483.6500000004"/>
  </r>
  <r>
    <x v="4"/>
    <x v="12"/>
    <x v="210"/>
    <n v="3443123.09"/>
    <x v="1565"/>
    <x v="1563"/>
    <n v="399268.37"/>
  </r>
  <r>
    <x v="5"/>
    <x v="12"/>
    <x v="210"/>
    <n v="3302966.2"/>
    <x v="1566"/>
    <x v="1564"/>
    <n v="695113.58"/>
  </r>
  <r>
    <x v="7"/>
    <x v="12"/>
    <x v="210"/>
    <n v="9371895.3499999996"/>
    <x v="1567"/>
    <x v="1565"/>
    <n v="981018.43"/>
  </r>
  <r>
    <x v="1"/>
    <x v="12"/>
    <x v="211"/>
    <n v="1250767665.77"/>
    <x v="1568"/>
    <x v="1566"/>
    <n v="79782854.489999995"/>
  </r>
  <r>
    <x v="5"/>
    <x v="12"/>
    <x v="211"/>
    <n v="45792430.409999996"/>
    <x v="1569"/>
    <x v="1567"/>
    <n v="1703193.42"/>
  </r>
  <r>
    <x v="7"/>
    <x v="12"/>
    <x v="211"/>
    <n v="8877479.2200000007"/>
    <x v="1570"/>
    <x v="1568"/>
    <n v="4255210.95"/>
  </r>
  <r>
    <x v="4"/>
    <x v="12"/>
    <x v="211"/>
    <n v="34094579.68"/>
    <x v="1571"/>
    <x v="1569"/>
    <n v="564055.94999999995"/>
  </r>
  <r>
    <x v="0"/>
    <x v="12"/>
    <x v="211"/>
    <n v="17884632.640000001"/>
    <x v="1572"/>
    <x v="1570"/>
    <n v="123158.09"/>
  </r>
  <r>
    <x v="6"/>
    <x v="12"/>
    <x v="211"/>
    <n v="12865751.85"/>
    <x v="1573"/>
    <x v="1571"/>
    <n v="212851.64"/>
  </r>
  <r>
    <x v="2"/>
    <x v="12"/>
    <x v="211"/>
    <n v="8150632.9299999997"/>
    <x v="1574"/>
    <x v="1572"/>
    <n v="13391042.34"/>
  </r>
  <r>
    <x v="3"/>
    <x v="12"/>
    <x v="211"/>
    <n v="9663175.2200000007"/>
    <x v="1575"/>
    <x v="1573"/>
    <n v="2483704.39"/>
  </r>
  <r>
    <x v="6"/>
    <x v="12"/>
    <x v="212"/>
    <n v="2751192.66"/>
    <x v="1576"/>
    <x v="1574"/>
    <n v="838118.74"/>
  </r>
  <r>
    <x v="4"/>
    <x v="12"/>
    <x v="212"/>
    <n v="5170693.8"/>
    <x v="1577"/>
    <x v="1575"/>
    <n v="1804564.36"/>
  </r>
  <r>
    <x v="5"/>
    <x v="12"/>
    <x v="212"/>
    <n v="3561821.83"/>
    <x v="1578"/>
    <x v="1576"/>
    <n v="1349246.13"/>
  </r>
  <r>
    <x v="2"/>
    <x v="12"/>
    <x v="212"/>
    <n v="3322456.26"/>
    <x v="1579"/>
    <x v="1577"/>
    <n v="3858762.44"/>
  </r>
  <r>
    <x v="7"/>
    <x v="12"/>
    <x v="212"/>
    <n v="3503698.67"/>
    <x v="1580"/>
    <x v="1578"/>
    <n v="2893822.31"/>
  </r>
  <r>
    <x v="0"/>
    <x v="12"/>
    <x v="212"/>
    <n v="6464331.0999999996"/>
    <x v="1581"/>
    <x v="1579"/>
    <n v="570719.39"/>
  </r>
  <r>
    <x v="1"/>
    <x v="12"/>
    <x v="212"/>
    <n v="221784332.22"/>
    <x v="1582"/>
    <x v="1580"/>
    <n v="19906660.260000002"/>
  </r>
  <r>
    <x v="3"/>
    <x v="12"/>
    <x v="212"/>
    <n v="3059071.09"/>
    <x v="1583"/>
    <x v="1581"/>
    <n v="1397270.67"/>
  </r>
  <r>
    <x v="3"/>
    <x v="12"/>
    <x v="213"/>
    <n v="4260489.1900000004"/>
    <x v="1584"/>
    <x v="1582"/>
    <n v="734950.63"/>
  </r>
  <r>
    <x v="1"/>
    <x v="12"/>
    <x v="213"/>
    <n v="97905739.120000005"/>
    <x v="1585"/>
    <x v="1583"/>
    <n v="7333089.0199999996"/>
  </r>
  <r>
    <x v="2"/>
    <x v="12"/>
    <x v="213"/>
    <n v="1671933.8"/>
    <x v="1586"/>
    <x v="1584"/>
    <n v="1286003.17"/>
  </r>
  <r>
    <x v="5"/>
    <x v="12"/>
    <x v="213"/>
    <n v="2556281.46"/>
    <x v="1587"/>
    <x v="1585"/>
    <n v="1919346.93"/>
  </r>
  <r>
    <x v="7"/>
    <x v="12"/>
    <x v="213"/>
    <n v="1633215.29"/>
    <x v="1588"/>
    <x v="1586"/>
    <n v="613115.92000000004"/>
  </r>
  <r>
    <x v="6"/>
    <x v="12"/>
    <x v="213"/>
    <n v="1132545.8"/>
    <x v="1589"/>
    <x v="1587"/>
    <n v="196342.68"/>
  </r>
  <r>
    <x v="4"/>
    <x v="12"/>
    <x v="213"/>
    <n v="2728181.36"/>
    <x v="1590"/>
    <x v="1588"/>
    <n v="36415.03"/>
  </r>
  <r>
    <x v="0"/>
    <x v="12"/>
    <x v="213"/>
    <n v="1458244.61"/>
    <x v="1591"/>
    <x v="1589"/>
    <n v="11825"/>
  </r>
  <r>
    <x v="6"/>
    <x v="12"/>
    <x v="214"/>
    <n v="6114503.0999999996"/>
    <x v="1592"/>
    <x v="1590"/>
    <n v="493556.88"/>
  </r>
  <r>
    <x v="1"/>
    <x v="12"/>
    <x v="214"/>
    <n v="870288661.78999996"/>
    <x v="1593"/>
    <x v="1591"/>
    <n v="70298128.879999995"/>
  </r>
  <r>
    <x v="0"/>
    <x v="12"/>
    <x v="214"/>
    <n v="81652686.019999996"/>
    <x v="1594"/>
    <x v="1592"/>
    <n v="1177178.83"/>
  </r>
  <r>
    <x v="5"/>
    <x v="12"/>
    <x v="214"/>
    <n v="18581845.420000002"/>
    <x v="1595"/>
    <x v="1593"/>
    <n v="2074565.01"/>
  </r>
  <r>
    <x v="4"/>
    <x v="12"/>
    <x v="214"/>
    <n v="64679585.630000003"/>
    <x v="1596"/>
    <x v="1594"/>
    <n v="1449561.83"/>
  </r>
  <r>
    <x v="3"/>
    <x v="12"/>
    <x v="214"/>
    <n v="30669714.870000001"/>
    <x v="1597"/>
    <x v="1595"/>
    <n v="1147915.8"/>
  </r>
  <r>
    <x v="2"/>
    <x v="12"/>
    <x v="214"/>
    <n v="13512358.550000001"/>
    <x v="1598"/>
    <x v="1596"/>
    <n v="4580236.7300000004"/>
  </r>
  <r>
    <x v="7"/>
    <x v="12"/>
    <x v="214"/>
    <n v="14468830.17"/>
    <x v="1599"/>
    <x v="1597"/>
    <n v="14825338.890000001"/>
  </r>
  <r>
    <x v="3"/>
    <x v="12"/>
    <x v="215"/>
    <n v="11602673.789999999"/>
    <x v="1600"/>
    <x v="1598"/>
    <n v="2115091.4300000002"/>
  </r>
  <r>
    <x v="4"/>
    <x v="12"/>
    <x v="215"/>
    <n v="21438533.370000001"/>
    <x v="1601"/>
    <x v="1599"/>
    <n v="670645.82999999996"/>
  </r>
  <r>
    <x v="5"/>
    <x v="12"/>
    <x v="215"/>
    <n v="26633280.800000001"/>
    <x v="1602"/>
    <x v="1600"/>
    <n v="3271611.1"/>
  </r>
  <r>
    <x v="1"/>
    <x v="12"/>
    <x v="215"/>
    <n v="195902779.34999999"/>
    <x v="1603"/>
    <x v="1601"/>
    <n v="27482446.68"/>
  </r>
  <r>
    <x v="2"/>
    <x v="12"/>
    <x v="215"/>
    <n v="10850261.41"/>
    <x v="1604"/>
    <x v="1602"/>
    <n v="4650400.42"/>
  </r>
  <r>
    <x v="0"/>
    <x v="12"/>
    <x v="215"/>
    <n v="49845012.700000003"/>
    <x v="1605"/>
    <x v="1603"/>
    <n v="2157498.0299999998"/>
  </r>
  <r>
    <x v="7"/>
    <x v="12"/>
    <x v="215"/>
    <n v="18476469.82"/>
    <x v="1606"/>
    <x v="1604"/>
    <n v="2657941.9"/>
  </r>
  <r>
    <x v="6"/>
    <x v="12"/>
    <x v="215"/>
    <n v="1431895.97"/>
    <x v="1607"/>
    <x v="1605"/>
    <n v="190893.59"/>
  </r>
  <r>
    <x v="7"/>
    <x v="12"/>
    <x v="216"/>
    <n v="13442093.57"/>
    <x v="1608"/>
    <x v="1606"/>
    <n v="9571487.3100000005"/>
  </r>
  <r>
    <x v="4"/>
    <x v="12"/>
    <x v="216"/>
    <n v="25302800.969999999"/>
    <x v="1609"/>
    <x v="1607"/>
    <n v="2881152.14"/>
  </r>
  <r>
    <x v="0"/>
    <x v="12"/>
    <x v="216"/>
    <n v="31651634"/>
    <x v="1610"/>
    <x v="1608"/>
    <n v="2094994.13"/>
  </r>
  <r>
    <x v="2"/>
    <x v="12"/>
    <x v="216"/>
    <n v="34157414.899999999"/>
    <x v="1611"/>
    <x v="1609"/>
    <n v="7626870.79"/>
  </r>
  <r>
    <x v="1"/>
    <x v="12"/>
    <x v="216"/>
    <n v="2253265909.0799999"/>
    <x v="1612"/>
    <x v="1610"/>
    <n v="155263281.78999999"/>
  </r>
  <r>
    <x v="5"/>
    <x v="12"/>
    <x v="216"/>
    <n v="121992779.78"/>
    <x v="1613"/>
    <x v="1611"/>
    <n v="4579520.58"/>
  </r>
  <r>
    <x v="6"/>
    <x v="12"/>
    <x v="216"/>
    <n v="145451489.65000001"/>
    <x v="1614"/>
    <x v="1612"/>
    <n v="3667493.66"/>
  </r>
  <r>
    <x v="3"/>
    <x v="12"/>
    <x v="216"/>
    <n v="32038514.550000001"/>
    <x v="1615"/>
    <x v="1613"/>
    <n v="1027216.2"/>
  </r>
  <r>
    <x v="2"/>
    <x v="12"/>
    <x v="217"/>
    <n v="6208677.8499999996"/>
    <x v="1616"/>
    <x v="1614"/>
    <n v="6066242.0599999996"/>
  </r>
  <r>
    <x v="5"/>
    <x v="12"/>
    <x v="217"/>
    <n v="7040966.9299999997"/>
    <x v="1617"/>
    <x v="1615"/>
    <n v="2681238.65"/>
  </r>
  <r>
    <x v="6"/>
    <x v="12"/>
    <x v="217"/>
    <n v="5213135.08"/>
    <x v="1618"/>
    <x v="1616"/>
    <n v="444566.19"/>
  </r>
  <r>
    <x v="1"/>
    <x v="12"/>
    <x v="217"/>
    <n v="334708026.41000003"/>
    <x v="1619"/>
    <x v="1617"/>
    <n v="29258503.41"/>
  </r>
  <r>
    <x v="7"/>
    <x v="12"/>
    <x v="217"/>
    <n v="57233705.310000002"/>
    <x v="1620"/>
    <x v="1618"/>
    <n v="3161191.24"/>
  </r>
  <r>
    <x v="3"/>
    <x v="12"/>
    <x v="217"/>
    <n v="16128548.470000001"/>
    <x v="1621"/>
    <x v="1619"/>
    <n v="971361.81"/>
  </r>
  <r>
    <x v="0"/>
    <x v="12"/>
    <x v="217"/>
    <n v="7256496.3099999996"/>
    <x v="1622"/>
    <x v="1620"/>
    <n v="626382.96"/>
  </r>
  <r>
    <x v="4"/>
    <x v="12"/>
    <x v="217"/>
    <n v="13475513.640000001"/>
    <x v="1623"/>
    <x v="1621"/>
    <n v="2414335.58"/>
  </r>
  <r>
    <x v="6"/>
    <x v="12"/>
    <x v="218"/>
    <n v="4595423.9400000004"/>
    <x v="1624"/>
    <x v="1622"/>
    <n v="2717316.36"/>
  </r>
  <r>
    <x v="4"/>
    <x v="12"/>
    <x v="218"/>
    <n v="29144301.379999999"/>
    <x v="1625"/>
    <x v="1623"/>
    <n v="3281657.78"/>
  </r>
  <r>
    <x v="2"/>
    <x v="12"/>
    <x v="218"/>
    <n v="19495545.989999998"/>
    <x v="1626"/>
    <x v="1624"/>
    <n v="13057996.91"/>
  </r>
  <r>
    <x v="3"/>
    <x v="12"/>
    <x v="218"/>
    <n v="27070380.859999999"/>
    <x v="1627"/>
    <x v="1625"/>
    <n v="6160828.4900000002"/>
  </r>
  <r>
    <x v="1"/>
    <x v="12"/>
    <x v="218"/>
    <n v="1746934223.4100001"/>
    <x v="1628"/>
    <x v="1626"/>
    <n v="130616094.42"/>
  </r>
  <r>
    <x v="0"/>
    <x v="12"/>
    <x v="218"/>
    <n v="135278398.13999999"/>
    <x v="1629"/>
    <x v="1627"/>
    <n v="3000217.67"/>
  </r>
  <r>
    <x v="5"/>
    <x v="12"/>
    <x v="218"/>
    <n v="23457395.530000001"/>
    <x v="1630"/>
    <x v="1628"/>
    <n v="7417576.1699999999"/>
  </r>
  <r>
    <x v="7"/>
    <x v="12"/>
    <x v="218"/>
    <n v="9725614.0800000001"/>
    <x v="1631"/>
    <x v="1629"/>
    <n v="10670260.51"/>
  </r>
  <r>
    <x v="5"/>
    <x v="12"/>
    <x v="219"/>
    <n v="861644.92"/>
    <x v="1632"/>
    <x v="1630"/>
    <n v="970529.3"/>
  </r>
  <r>
    <x v="2"/>
    <x v="12"/>
    <x v="219"/>
    <n v="4459304.3"/>
    <x v="1633"/>
    <x v="1631"/>
    <n v="1566445.86"/>
  </r>
  <r>
    <x v="7"/>
    <x v="12"/>
    <x v="219"/>
    <n v="471707.82"/>
    <x v="1634"/>
    <x v="1632"/>
    <n v="639713.46"/>
  </r>
  <r>
    <x v="6"/>
    <x v="12"/>
    <x v="219"/>
    <n v="7581387.1699999999"/>
    <x v="1635"/>
    <x v="1633"/>
    <n v="181295.33"/>
  </r>
  <r>
    <x v="4"/>
    <x v="12"/>
    <x v="219"/>
    <n v="1488950.49"/>
    <x v="1636"/>
    <x v="1634"/>
    <n v="163573.81"/>
  </r>
  <r>
    <x v="1"/>
    <x v="12"/>
    <x v="219"/>
    <n v="84235777.489999995"/>
    <x v="1637"/>
    <x v="1635"/>
    <n v="7141349.1100000003"/>
  </r>
  <r>
    <x v="3"/>
    <x v="12"/>
    <x v="219"/>
    <n v="6110238.46"/>
    <x v="1638"/>
    <x v="1636"/>
    <n v="548884.17000000004"/>
  </r>
  <r>
    <x v="0"/>
    <x v="12"/>
    <x v="219"/>
    <n v="1113790.55"/>
    <x v="1639"/>
    <x v="1637"/>
    <n v="353225.99"/>
  </r>
  <r>
    <x v="2"/>
    <x v="12"/>
    <x v="220"/>
    <n v="5491458.9699999997"/>
    <x v="1640"/>
    <x v="1638"/>
    <n v="5274107.67"/>
  </r>
  <r>
    <x v="4"/>
    <x v="12"/>
    <x v="220"/>
    <n v="5214219.5199999996"/>
    <x v="1641"/>
    <x v="1639"/>
    <n v="1254626.28"/>
  </r>
  <r>
    <x v="1"/>
    <x v="12"/>
    <x v="220"/>
    <n v="216478731.21000001"/>
    <x v="1642"/>
    <x v="1640"/>
    <n v="16371060.300000001"/>
  </r>
  <r>
    <x v="3"/>
    <x v="12"/>
    <x v="220"/>
    <n v="3032286.34"/>
    <x v="1643"/>
    <x v="1641"/>
    <n v="2237389.39"/>
  </r>
  <r>
    <x v="7"/>
    <x v="12"/>
    <x v="220"/>
    <n v="2277910.5299999998"/>
    <x v="1644"/>
    <x v="1642"/>
    <n v="1547334.53"/>
  </r>
  <r>
    <x v="6"/>
    <x v="12"/>
    <x v="220"/>
    <n v="5796749.5099999998"/>
    <x v="1645"/>
    <x v="1643"/>
    <n v="1519470.1"/>
  </r>
  <r>
    <x v="0"/>
    <x v="12"/>
    <x v="220"/>
    <n v="15476345.02"/>
    <x v="1646"/>
    <x v="1644"/>
    <n v="614121.92000000004"/>
  </r>
  <r>
    <x v="5"/>
    <x v="12"/>
    <x v="220"/>
    <n v="9279454.1600000001"/>
    <x v="1647"/>
    <x v="1645"/>
    <n v="1992667.79"/>
  </r>
  <r>
    <x v="3"/>
    <x v="12"/>
    <x v="221"/>
    <n v="38751458.060000002"/>
    <x v="1648"/>
    <x v="1646"/>
    <n v="4290014.32"/>
  </r>
  <r>
    <x v="7"/>
    <x v="12"/>
    <x v="221"/>
    <n v="25443533.329999998"/>
    <x v="1649"/>
    <x v="1647"/>
    <n v="11585672.9"/>
  </r>
  <r>
    <x v="2"/>
    <x v="12"/>
    <x v="221"/>
    <n v="25956562.489999998"/>
    <x v="1650"/>
    <x v="1648"/>
    <n v="16387049.109999999"/>
  </r>
  <r>
    <x v="0"/>
    <x v="12"/>
    <x v="221"/>
    <n v="46926218.649999999"/>
    <x v="1651"/>
    <x v="1649"/>
    <n v="4318746.7300000004"/>
  </r>
  <r>
    <x v="4"/>
    <x v="12"/>
    <x v="221"/>
    <n v="18018894.329999998"/>
    <x v="1652"/>
    <x v="1650"/>
    <n v="11069635.73"/>
  </r>
  <r>
    <x v="1"/>
    <x v="12"/>
    <x v="221"/>
    <n v="1557616160.4300001"/>
    <x v="1653"/>
    <x v="1651"/>
    <n v="119544509.34999999"/>
  </r>
  <r>
    <x v="6"/>
    <x v="12"/>
    <x v="221"/>
    <n v="7024717.8899999997"/>
    <x v="1654"/>
    <x v="1652"/>
    <n v="2835287.1"/>
  </r>
  <r>
    <x v="5"/>
    <x v="12"/>
    <x v="221"/>
    <n v="41336463.450000003"/>
    <x v="1655"/>
    <x v="1653"/>
    <n v="19276924.030000001"/>
  </r>
  <r>
    <x v="0"/>
    <x v="12"/>
    <x v="222"/>
    <n v="50944221.460000001"/>
    <x v="1656"/>
    <x v="1654"/>
    <n v="944765.43"/>
  </r>
  <r>
    <x v="6"/>
    <x v="12"/>
    <x v="222"/>
    <n v="13443094.82"/>
    <x v="1657"/>
    <x v="1655"/>
    <n v="640521.84"/>
  </r>
  <r>
    <x v="2"/>
    <x v="12"/>
    <x v="222"/>
    <n v="12277740.76"/>
    <x v="1658"/>
    <x v="1656"/>
    <n v="6421022.79"/>
  </r>
  <r>
    <x v="5"/>
    <x v="12"/>
    <x v="222"/>
    <n v="12480258.35"/>
    <x v="1659"/>
    <x v="1657"/>
    <n v="3095507.59"/>
  </r>
  <r>
    <x v="4"/>
    <x v="12"/>
    <x v="222"/>
    <n v="89585775.310000002"/>
    <x v="1660"/>
    <x v="1658"/>
    <n v="3294911.54"/>
  </r>
  <r>
    <x v="1"/>
    <x v="12"/>
    <x v="222"/>
    <n v="1396499807.1800001"/>
    <x v="1661"/>
    <x v="1659"/>
    <n v="93235395.120000005"/>
  </r>
  <r>
    <x v="3"/>
    <x v="12"/>
    <x v="222"/>
    <n v="19786785.469999999"/>
    <x v="1662"/>
    <x v="1660"/>
    <n v="2616016.11"/>
  </r>
  <r>
    <x v="7"/>
    <x v="12"/>
    <x v="222"/>
    <n v="8274841.6600000001"/>
    <x v="1663"/>
    <x v="1661"/>
    <n v="3602719.28"/>
  </r>
  <r>
    <x v="5"/>
    <x v="12"/>
    <x v="223"/>
    <n v="8400677"/>
    <x v="1664"/>
    <x v="1662"/>
    <n v="5091505.1100000003"/>
  </r>
  <r>
    <x v="2"/>
    <x v="12"/>
    <x v="223"/>
    <n v="7918261.0899999999"/>
    <x v="1665"/>
    <x v="1663"/>
    <n v="10826803.439999999"/>
  </r>
  <r>
    <x v="0"/>
    <x v="12"/>
    <x v="223"/>
    <n v="18249733.780000001"/>
    <x v="1666"/>
    <x v="1664"/>
    <n v="2779792.58"/>
  </r>
  <r>
    <x v="3"/>
    <x v="12"/>
    <x v="223"/>
    <n v="31201948.09"/>
    <x v="1667"/>
    <x v="1665"/>
    <n v="5646643.2000000002"/>
  </r>
  <r>
    <x v="4"/>
    <x v="12"/>
    <x v="223"/>
    <n v="47752287.5"/>
    <x v="1668"/>
    <x v="1666"/>
    <n v="2443448.4700000002"/>
  </r>
  <r>
    <x v="1"/>
    <x v="12"/>
    <x v="223"/>
    <n v="1300404285.1400001"/>
    <x v="1669"/>
    <x v="1667"/>
    <n v="91101652.620000005"/>
  </r>
  <r>
    <x v="7"/>
    <x v="12"/>
    <x v="223"/>
    <n v="30282384.079999998"/>
    <x v="1670"/>
    <x v="1668"/>
    <n v="3111820.29"/>
  </r>
  <r>
    <x v="6"/>
    <x v="12"/>
    <x v="223"/>
    <n v="11759063.84"/>
    <x v="1671"/>
    <x v="1669"/>
    <n v="3202184.97"/>
  </r>
  <r>
    <x v="3"/>
    <x v="12"/>
    <x v="224"/>
    <n v="12330831.390000001"/>
    <x v="1672"/>
    <x v="1670"/>
    <n v="3754830.78"/>
  </r>
  <r>
    <x v="6"/>
    <x v="12"/>
    <x v="224"/>
    <n v="16420646.25"/>
    <x v="1673"/>
    <x v="1671"/>
    <n v="5202169.08"/>
  </r>
  <r>
    <x v="1"/>
    <x v="12"/>
    <x v="224"/>
    <n v="902026212.42999995"/>
    <x v="1674"/>
    <x v="1672"/>
    <n v="70197056.75"/>
  </r>
  <r>
    <x v="5"/>
    <x v="12"/>
    <x v="224"/>
    <n v="10069947.5"/>
    <x v="1675"/>
    <x v="1673"/>
    <n v="4674443.3899999997"/>
  </r>
  <r>
    <x v="4"/>
    <x v="12"/>
    <x v="224"/>
    <n v="73944348.180000007"/>
    <x v="1676"/>
    <x v="1674"/>
    <n v="5519941.5300000003"/>
  </r>
  <r>
    <x v="2"/>
    <x v="12"/>
    <x v="224"/>
    <n v="8701220.8100000005"/>
    <x v="1677"/>
    <x v="1675"/>
    <n v="4258066.34"/>
  </r>
  <r>
    <x v="7"/>
    <x v="12"/>
    <x v="224"/>
    <n v="3264590.15"/>
    <x v="1678"/>
    <x v="1676"/>
    <n v="10379474.01"/>
  </r>
  <r>
    <x v="0"/>
    <x v="12"/>
    <x v="224"/>
    <n v="42053077.829999998"/>
    <x v="1679"/>
    <x v="1677"/>
    <n v="2860617.5"/>
  </r>
  <r>
    <x v="7"/>
    <x v="12"/>
    <x v="225"/>
    <n v="4257789"/>
    <x v="1680"/>
    <x v="1678"/>
    <n v="35290.269999999997"/>
  </r>
  <r>
    <x v="3"/>
    <x v="12"/>
    <x v="225"/>
    <n v="852209"/>
    <x v="1681"/>
    <x v="1679"/>
    <n v="2800"/>
  </r>
  <r>
    <x v="4"/>
    <x v="12"/>
    <x v="225"/>
    <n v="7044597.29"/>
    <x v="1682"/>
    <x v="1680"/>
    <n v="721590.4"/>
  </r>
  <r>
    <x v="1"/>
    <x v="12"/>
    <x v="225"/>
    <n v="10076094.960000001"/>
    <x v="1683"/>
    <x v="1681"/>
    <n v="4820127.71"/>
  </r>
  <r>
    <x v="2"/>
    <x v="12"/>
    <x v="225"/>
    <n v="4842795.66"/>
    <x v="1684"/>
    <x v="1682"/>
    <n v="352607"/>
  </r>
  <r>
    <x v="5"/>
    <x v="12"/>
    <x v="225"/>
    <n v="6374600"/>
    <x v="1685"/>
    <x v="1683"/>
    <n v="41771.980000000003"/>
  </r>
  <r>
    <x v="6"/>
    <x v="12"/>
    <x v="225"/>
    <n v="1857025.01"/>
    <x v="1686"/>
    <x v="1684"/>
    <n v="180659.84"/>
  </r>
  <r>
    <x v="0"/>
    <x v="12"/>
    <x v="225"/>
    <n v="6285840.3200000003"/>
    <x v="1687"/>
    <x v="1685"/>
    <n v="230546.59"/>
  </r>
  <r>
    <x v="2"/>
    <x v="12"/>
    <x v="226"/>
    <n v="1374559.97"/>
    <x v="1688"/>
    <x v="1686"/>
    <n v="2525202.21"/>
  </r>
  <r>
    <x v="5"/>
    <x v="12"/>
    <x v="226"/>
    <n v="8464504.0700000003"/>
    <x v="1689"/>
    <x v="1687"/>
    <n v="1968322.77"/>
  </r>
  <r>
    <x v="4"/>
    <x v="12"/>
    <x v="226"/>
    <n v="7287062.21"/>
    <x v="1690"/>
    <x v="1688"/>
    <n v="136560.51999999999"/>
  </r>
  <r>
    <x v="3"/>
    <x v="12"/>
    <x v="226"/>
    <n v="5650208.6299999999"/>
    <x v="1691"/>
    <x v="1689"/>
    <n v="1387950.91"/>
  </r>
  <r>
    <x v="0"/>
    <x v="12"/>
    <x v="226"/>
    <n v="3466387.63"/>
    <x v="1692"/>
    <x v="1690"/>
    <n v="1016430.25"/>
  </r>
  <r>
    <x v="6"/>
    <x v="12"/>
    <x v="226"/>
    <n v="1914802.41"/>
    <x v="1693"/>
    <x v="1691"/>
    <n v="120987.83"/>
  </r>
  <r>
    <x v="7"/>
    <x v="12"/>
    <x v="226"/>
    <n v="1961249.59"/>
    <x v="1694"/>
    <x v="1692"/>
    <n v="1753381.89"/>
  </r>
  <r>
    <x v="1"/>
    <x v="12"/>
    <x v="226"/>
    <n v="101949856.17"/>
    <x v="1695"/>
    <x v="1693"/>
    <n v="8248034.4100000001"/>
  </r>
  <r>
    <x v="7"/>
    <x v="12"/>
    <x v="227"/>
    <n v="17977027.120000001"/>
    <x v="1696"/>
    <x v="1694"/>
    <n v="4388783.3"/>
  </r>
  <r>
    <x v="0"/>
    <x v="12"/>
    <x v="227"/>
    <n v="16504956.310000001"/>
    <x v="1697"/>
    <x v="1695"/>
    <n v="2456971.34"/>
  </r>
  <r>
    <x v="4"/>
    <x v="12"/>
    <x v="227"/>
    <n v="11060482.09"/>
    <x v="1698"/>
    <x v="1696"/>
    <n v="3151928.44"/>
  </r>
  <r>
    <x v="1"/>
    <x v="12"/>
    <x v="227"/>
    <n v="1399313618.3399999"/>
    <x v="1699"/>
    <x v="1697"/>
    <n v="109024692.40000001"/>
  </r>
  <r>
    <x v="6"/>
    <x v="12"/>
    <x v="227"/>
    <n v="12048497"/>
    <x v="1700"/>
    <x v="1698"/>
    <n v="614101.81000000006"/>
  </r>
  <r>
    <x v="3"/>
    <x v="12"/>
    <x v="227"/>
    <n v="147933550.56999999"/>
    <x v="1701"/>
    <x v="1699"/>
    <n v="1848400.19"/>
  </r>
  <r>
    <x v="2"/>
    <x v="12"/>
    <x v="227"/>
    <n v="45098108.590000004"/>
    <x v="1702"/>
    <x v="1700"/>
    <n v="2935020.08"/>
  </r>
  <r>
    <x v="5"/>
    <x v="12"/>
    <x v="227"/>
    <n v="63142230.090000004"/>
    <x v="1703"/>
    <x v="1701"/>
    <n v="1748845.96"/>
  </r>
  <r>
    <x v="1"/>
    <x v="12"/>
    <x v="228"/>
    <n v="8975498.6099999994"/>
    <x v="1704"/>
    <x v="1702"/>
    <n v="5623935.1100000003"/>
  </r>
  <r>
    <x v="4"/>
    <x v="12"/>
    <x v="228"/>
    <n v="7303328.8899999997"/>
    <x v="1705"/>
    <x v="1703"/>
    <n v="435706.61"/>
  </r>
  <r>
    <x v="2"/>
    <x v="12"/>
    <x v="228"/>
    <n v="4621271.29"/>
    <x v="1706"/>
    <x v="1704"/>
    <n v="2048078.63"/>
  </r>
  <r>
    <x v="5"/>
    <x v="12"/>
    <x v="228"/>
    <n v="8438850.1600000001"/>
    <x v="1707"/>
    <x v="1705"/>
    <n v="404670.58"/>
  </r>
  <r>
    <x v="7"/>
    <x v="12"/>
    <x v="228"/>
    <n v="5527818.9900000002"/>
    <x v="1708"/>
    <x v="1706"/>
    <n v="1116181.57"/>
  </r>
  <r>
    <x v="3"/>
    <x v="12"/>
    <x v="228"/>
    <n v="7326958.5"/>
    <x v="1709"/>
    <x v="1707"/>
    <n v="309859.42"/>
  </r>
  <r>
    <x v="6"/>
    <x v="12"/>
    <x v="228"/>
    <n v="480870.83"/>
    <x v="1710"/>
    <x v="1708"/>
    <n v="22726.03"/>
  </r>
  <r>
    <x v="0"/>
    <x v="12"/>
    <x v="228"/>
    <n v="7164390.2800000003"/>
    <x v="1711"/>
    <x v="1709"/>
    <n v="187485.12"/>
  </r>
  <r>
    <x v="5"/>
    <x v="12"/>
    <x v="229"/>
    <n v="12699069.43"/>
    <x v="1712"/>
    <x v="1710"/>
    <n v="3259610.83"/>
  </r>
  <r>
    <x v="6"/>
    <x v="12"/>
    <x v="229"/>
    <n v="8364894.6200000001"/>
    <x v="1713"/>
    <x v="1711"/>
    <n v="3674728.99"/>
  </r>
  <r>
    <x v="2"/>
    <x v="12"/>
    <x v="229"/>
    <n v="11306094.73"/>
    <x v="1714"/>
    <x v="1712"/>
    <n v="7912649.2599999998"/>
  </r>
  <r>
    <x v="1"/>
    <x v="12"/>
    <x v="229"/>
    <n v="994479468.98000002"/>
    <x v="1715"/>
    <x v="1713"/>
    <n v="72649678.939999998"/>
  </r>
  <r>
    <x v="4"/>
    <x v="12"/>
    <x v="229"/>
    <n v="19501363.68"/>
    <x v="1716"/>
    <x v="1714"/>
    <n v="1955450.89"/>
  </r>
  <r>
    <x v="7"/>
    <x v="12"/>
    <x v="229"/>
    <n v="8108337.1799999997"/>
    <x v="1717"/>
    <x v="1715"/>
    <n v="3420821.49"/>
  </r>
  <r>
    <x v="3"/>
    <x v="12"/>
    <x v="229"/>
    <n v="12493701.18"/>
    <x v="1718"/>
    <x v="1716"/>
    <n v="3066130.17"/>
  </r>
  <r>
    <x v="0"/>
    <x v="12"/>
    <x v="229"/>
    <n v="26528551.329999998"/>
    <x v="1719"/>
    <x v="1717"/>
    <n v="2096707.78"/>
  </r>
  <r>
    <x v="6"/>
    <x v="12"/>
    <x v="230"/>
    <n v="7624047.9100000001"/>
    <x v="1720"/>
    <x v="1718"/>
    <n v="261522.15"/>
  </r>
  <r>
    <x v="0"/>
    <x v="12"/>
    <x v="230"/>
    <n v="2465926.4700000002"/>
    <x v="1721"/>
    <x v="1719"/>
    <n v="268454.17"/>
  </r>
  <r>
    <x v="4"/>
    <x v="12"/>
    <x v="230"/>
    <n v="71163673.489999995"/>
    <x v="1722"/>
    <x v="1720"/>
    <n v="143212.01"/>
  </r>
  <r>
    <x v="2"/>
    <x v="12"/>
    <x v="230"/>
    <n v="4703646.3099999996"/>
    <x v="1723"/>
    <x v="1721"/>
    <n v="16130081.4"/>
  </r>
  <r>
    <x v="3"/>
    <x v="12"/>
    <x v="230"/>
    <n v="7126074.2699999996"/>
    <x v="1724"/>
    <x v="1722"/>
    <n v="408018.93"/>
  </r>
  <r>
    <x v="5"/>
    <x v="12"/>
    <x v="230"/>
    <n v="6191577.8300000001"/>
    <x v="1725"/>
    <x v="1723"/>
    <n v="14268854.880000001"/>
  </r>
  <r>
    <x v="7"/>
    <x v="12"/>
    <x v="230"/>
    <n v="6341731.9699999997"/>
    <x v="1726"/>
    <x v="1724"/>
    <n v="1232857.94"/>
  </r>
  <r>
    <x v="1"/>
    <x v="12"/>
    <x v="230"/>
    <n v="537021455.76999998"/>
    <x v="1727"/>
    <x v="1725"/>
    <n v="34035667.25"/>
  </r>
  <r>
    <x v="2"/>
    <x v="12"/>
    <x v="231"/>
    <n v="610090.02"/>
    <x v="1728"/>
    <x v="1726"/>
    <n v="293620"/>
  </r>
  <r>
    <x v="6"/>
    <x v="12"/>
    <x v="231"/>
    <n v="22420"/>
    <x v="1729"/>
    <x v="1727"/>
    <n v="22560"/>
  </r>
  <r>
    <x v="1"/>
    <x v="12"/>
    <x v="231"/>
    <n v="323266.48"/>
    <x v="1730"/>
    <x v="329"/>
    <n v="387574.43"/>
  </r>
  <r>
    <x v="0"/>
    <x v="12"/>
    <x v="231"/>
    <n v="1466800"/>
    <x v="1731"/>
    <x v="1728"/>
    <n v="8400"/>
  </r>
  <r>
    <x v="7"/>
    <x v="12"/>
    <x v="231"/>
    <n v="337499.48"/>
    <x v="329"/>
    <x v="1729"/>
    <n v="358974.38"/>
  </r>
  <r>
    <x v="3"/>
    <x v="12"/>
    <x v="231"/>
    <n v="448256.66"/>
    <x v="1732"/>
    <x v="1730"/>
    <n v="36936"/>
  </r>
  <r>
    <x v="4"/>
    <x v="12"/>
    <x v="231"/>
    <n v="2570289.9"/>
    <x v="1733"/>
    <x v="1731"/>
    <n v="9031.0300000000007"/>
  </r>
  <r>
    <x v="5"/>
    <x v="12"/>
    <x v="231"/>
    <n v="157270.51"/>
    <x v="1734"/>
    <x v="1732"/>
    <n v="271794.21999999997"/>
  </r>
  <r>
    <x v="0"/>
    <x v="12"/>
    <x v="232"/>
    <n v="8613376.1400000006"/>
    <x v="1735"/>
    <x v="1733"/>
    <n v="336253.93"/>
  </r>
  <r>
    <x v="2"/>
    <x v="12"/>
    <x v="232"/>
    <n v="2811567.31"/>
    <x v="1736"/>
    <x v="1734"/>
    <n v="1311686.32"/>
  </r>
  <r>
    <x v="3"/>
    <x v="12"/>
    <x v="232"/>
    <n v="887221.75"/>
    <x v="1737"/>
    <x v="1735"/>
    <n v="342638.1"/>
  </r>
  <r>
    <x v="5"/>
    <x v="12"/>
    <x v="232"/>
    <n v="9696377.7899999991"/>
    <x v="1738"/>
    <x v="1736"/>
    <n v="581698.59"/>
  </r>
  <r>
    <x v="4"/>
    <x v="12"/>
    <x v="232"/>
    <n v="1161278.3799999999"/>
    <x v="1739"/>
    <x v="1737"/>
    <n v="437938.74"/>
  </r>
  <r>
    <x v="1"/>
    <x v="12"/>
    <x v="232"/>
    <n v="101853539.19"/>
    <x v="1740"/>
    <x v="1738"/>
    <n v="8477964.3599999994"/>
  </r>
  <r>
    <x v="6"/>
    <x v="12"/>
    <x v="232"/>
    <n v="4115933.53"/>
    <x v="1741"/>
    <x v="1739"/>
    <n v="1004213.82"/>
  </r>
  <r>
    <x v="7"/>
    <x v="12"/>
    <x v="232"/>
    <n v="1032098.86"/>
    <x v="1742"/>
    <x v="1740"/>
    <n v="673171.36"/>
  </r>
  <r>
    <x v="6"/>
    <x v="12"/>
    <x v="233"/>
    <n v="12839038.039999999"/>
    <x v="1743"/>
    <x v="1741"/>
    <n v="1376667.58"/>
  </r>
  <r>
    <x v="3"/>
    <x v="12"/>
    <x v="233"/>
    <n v="6251107.7000000002"/>
    <x v="1744"/>
    <x v="1742"/>
    <n v="1075982.52"/>
  </r>
  <r>
    <x v="0"/>
    <x v="12"/>
    <x v="233"/>
    <n v="19358148.899999999"/>
    <x v="1745"/>
    <x v="1743"/>
    <n v="430508.93"/>
  </r>
  <r>
    <x v="4"/>
    <x v="12"/>
    <x v="233"/>
    <n v="4629429.6900000004"/>
    <x v="1746"/>
    <x v="1744"/>
    <n v="613306.74"/>
  </r>
  <r>
    <x v="2"/>
    <x v="12"/>
    <x v="233"/>
    <n v="3455913.12"/>
    <x v="1747"/>
    <x v="1745"/>
    <n v="3573461.4"/>
  </r>
  <r>
    <x v="7"/>
    <x v="12"/>
    <x v="233"/>
    <n v="1315868.53"/>
    <x v="1748"/>
    <x v="1746"/>
    <n v="3061712.72"/>
  </r>
  <r>
    <x v="5"/>
    <x v="12"/>
    <x v="233"/>
    <n v="4397524.96"/>
    <x v="1749"/>
    <x v="1747"/>
    <n v="1433740.09"/>
  </r>
  <r>
    <x v="1"/>
    <x v="12"/>
    <x v="233"/>
    <n v="176744625"/>
    <x v="1750"/>
    <x v="1748"/>
    <n v="11193764"/>
  </r>
  <r>
    <x v="5"/>
    <x v="12"/>
    <x v="234"/>
    <n v="25787584.16"/>
    <x v="1751"/>
    <x v="1749"/>
    <n v="854111.18"/>
  </r>
  <r>
    <x v="3"/>
    <x v="12"/>
    <x v="234"/>
    <n v="21711162.199999999"/>
    <x v="1752"/>
    <x v="1750"/>
    <n v="4351922.32"/>
  </r>
  <r>
    <x v="6"/>
    <x v="12"/>
    <x v="234"/>
    <n v="43846172.659999996"/>
    <x v="1753"/>
    <x v="1751"/>
    <n v="2010520.99"/>
  </r>
  <r>
    <x v="0"/>
    <x v="12"/>
    <x v="234"/>
    <n v="39174116.969999999"/>
    <x v="1754"/>
    <x v="1752"/>
    <n v="57770.080000000002"/>
  </r>
  <r>
    <x v="2"/>
    <x v="12"/>
    <x v="234"/>
    <n v="18992082.899999999"/>
    <x v="1755"/>
    <x v="1753"/>
    <n v="10612529.560000001"/>
  </r>
  <r>
    <x v="1"/>
    <x v="12"/>
    <x v="234"/>
    <n v="1557501754.95"/>
    <x v="1756"/>
    <x v="1754"/>
    <n v="114529892.66"/>
  </r>
  <r>
    <x v="7"/>
    <x v="12"/>
    <x v="234"/>
    <n v="16193763.4"/>
    <x v="1757"/>
    <x v="1755"/>
    <n v="4990522.63"/>
  </r>
  <r>
    <x v="4"/>
    <x v="12"/>
    <x v="234"/>
    <n v="52214418.07"/>
    <x v="1758"/>
    <x v="1756"/>
    <n v="753784.53"/>
  </r>
  <r>
    <x v="7"/>
    <x v="12"/>
    <x v="235"/>
    <n v="54730402.409999996"/>
    <x v="1759"/>
    <x v="1757"/>
    <n v="11143599.189999999"/>
  </r>
  <r>
    <x v="1"/>
    <x v="12"/>
    <x v="235"/>
    <n v="512573635.43000001"/>
    <x v="1760"/>
    <x v="1758"/>
    <n v="96543926.790000007"/>
  </r>
  <r>
    <x v="2"/>
    <x v="12"/>
    <x v="235"/>
    <n v="-16913581.18"/>
    <x v="1761"/>
    <x v="1759"/>
    <n v="9050738.7899999991"/>
  </r>
  <r>
    <x v="5"/>
    <x v="12"/>
    <x v="235"/>
    <n v="47272909.18"/>
    <x v="1762"/>
    <x v="1760"/>
    <n v="5834072.3799999999"/>
  </r>
  <r>
    <x v="3"/>
    <x v="12"/>
    <x v="235"/>
    <n v="141492967.24000001"/>
    <x v="1763"/>
    <x v="1761"/>
    <n v="6704207.6699999999"/>
  </r>
  <r>
    <x v="6"/>
    <x v="12"/>
    <x v="235"/>
    <n v="4722767.7300000004"/>
    <x v="1764"/>
    <x v="1762"/>
    <n v="2174387.19"/>
  </r>
  <r>
    <x v="0"/>
    <x v="12"/>
    <x v="235"/>
    <n v="88614448.790000007"/>
    <x v="1765"/>
    <x v="1763"/>
    <n v="3272888.44"/>
  </r>
  <r>
    <x v="4"/>
    <x v="12"/>
    <x v="235"/>
    <n v="509193727.50999999"/>
    <x v="1766"/>
    <x v="1764"/>
    <n v="2264457.11"/>
  </r>
  <r>
    <x v="3"/>
    <x v="12"/>
    <x v="236"/>
    <n v="5547991.3099999996"/>
    <x v="1767"/>
    <x v="1765"/>
    <n v="644338.51"/>
  </r>
  <r>
    <x v="0"/>
    <x v="12"/>
    <x v="236"/>
    <n v="2636760.58"/>
    <x v="1768"/>
    <x v="1766"/>
    <n v="1610617.25"/>
  </r>
  <r>
    <x v="2"/>
    <x v="12"/>
    <x v="236"/>
    <n v="5112906.0599999996"/>
    <x v="1769"/>
    <x v="1767"/>
    <n v="5509875.1200000001"/>
  </r>
  <r>
    <x v="7"/>
    <x v="12"/>
    <x v="236"/>
    <n v="2766374.97"/>
    <x v="1770"/>
    <x v="1768"/>
    <n v="2712026.78"/>
  </r>
  <r>
    <x v="4"/>
    <x v="12"/>
    <x v="236"/>
    <n v="3791947.68"/>
    <x v="1771"/>
    <x v="1769"/>
    <n v="727878.84"/>
  </r>
  <r>
    <x v="5"/>
    <x v="12"/>
    <x v="236"/>
    <n v="15015249.609999999"/>
    <x v="1772"/>
    <x v="1770"/>
    <n v="1164833.96"/>
  </r>
  <r>
    <x v="1"/>
    <x v="12"/>
    <x v="236"/>
    <n v="299654598.54000002"/>
    <x v="1773"/>
    <x v="1771"/>
    <n v="23502707.420000002"/>
  </r>
  <r>
    <x v="6"/>
    <x v="12"/>
    <x v="236"/>
    <n v="3615907.12"/>
    <x v="1774"/>
    <x v="1772"/>
    <n v="554087.67000000004"/>
  </r>
  <r>
    <x v="1"/>
    <x v="12"/>
    <x v="237"/>
    <n v="2733677905.9499998"/>
    <x v="1775"/>
    <x v="1773"/>
    <n v="243929110.46000001"/>
  </r>
  <r>
    <x v="0"/>
    <x v="12"/>
    <x v="237"/>
    <n v="150841775.28999999"/>
    <x v="1776"/>
    <x v="1774"/>
    <n v="2394127.12"/>
  </r>
  <r>
    <x v="4"/>
    <x v="12"/>
    <x v="237"/>
    <n v="67472561.549999997"/>
    <x v="1777"/>
    <x v="1775"/>
    <n v="1718669.2"/>
  </r>
  <r>
    <x v="5"/>
    <x v="12"/>
    <x v="237"/>
    <n v="128876837.48999999"/>
    <x v="1778"/>
    <x v="1776"/>
    <n v="6774918.5099999998"/>
  </r>
  <r>
    <x v="2"/>
    <x v="12"/>
    <x v="237"/>
    <n v="39946631.140000001"/>
    <x v="1779"/>
    <x v="1777"/>
    <n v="16730201.529999999"/>
  </r>
  <r>
    <x v="6"/>
    <x v="12"/>
    <x v="237"/>
    <n v="28566748.09"/>
    <x v="1780"/>
    <x v="1778"/>
    <n v="617371.31999999995"/>
  </r>
  <r>
    <x v="7"/>
    <x v="12"/>
    <x v="237"/>
    <n v="51566899.979999997"/>
    <x v="1781"/>
    <x v="1779"/>
    <n v="9905120.6999999993"/>
  </r>
  <r>
    <x v="3"/>
    <x v="12"/>
    <x v="237"/>
    <n v="62789879.009999998"/>
    <x v="1782"/>
    <x v="1780"/>
    <n v="5948856.54"/>
  </r>
  <r>
    <x v="3"/>
    <x v="12"/>
    <x v="238"/>
    <n v="10563175.109999999"/>
    <x v="1783"/>
    <x v="1781"/>
    <n v="179550.97"/>
  </r>
  <r>
    <x v="5"/>
    <x v="12"/>
    <x v="238"/>
    <n v="17572316.829999998"/>
    <x v="1784"/>
    <x v="1782"/>
    <n v="837465.81"/>
  </r>
  <r>
    <x v="0"/>
    <x v="12"/>
    <x v="238"/>
    <n v="22312652.25"/>
    <x v="1785"/>
    <x v="1783"/>
    <n v="221315.38"/>
  </r>
  <r>
    <x v="2"/>
    <x v="12"/>
    <x v="238"/>
    <n v="887963.34"/>
    <x v="1786"/>
    <x v="1784"/>
    <n v="1883677.63"/>
  </r>
  <r>
    <x v="1"/>
    <x v="12"/>
    <x v="238"/>
    <n v="548202372.85000002"/>
    <x v="1787"/>
    <x v="1785"/>
    <n v="33998101.200000003"/>
  </r>
  <r>
    <x v="6"/>
    <x v="12"/>
    <x v="238"/>
    <n v="1718460.55"/>
    <x v="1788"/>
    <x v="1786"/>
    <n v="432650.75"/>
  </r>
  <r>
    <x v="4"/>
    <x v="12"/>
    <x v="238"/>
    <n v="22223820.449999999"/>
    <x v="1789"/>
    <x v="1787"/>
    <n v="517355.55"/>
  </r>
  <r>
    <x v="7"/>
    <x v="12"/>
    <x v="238"/>
    <n v="17680130.510000002"/>
    <x v="1790"/>
    <x v="1788"/>
    <n v="531050.93999999994"/>
  </r>
  <r>
    <x v="0"/>
    <x v="12"/>
    <x v="239"/>
    <n v="66395536.189999998"/>
    <x v="1791"/>
    <x v="1789"/>
    <n v="3741133.21"/>
  </r>
  <r>
    <x v="1"/>
    <x v="12"/>
    <x v="239"/>
    <n v="1739282866.3399999"/>
    <x v="1792"/>
    <x v="1790"/>
    <n v="129514830.48"/>
  </r>
  <r>
    <x v="7"/>
    <x v="12"/>
    <x v="239"/>
    <n v="15737575.85"/>
    <x v="1793"/>
    <x v="1791"/>
    <n v="10941500.9"/>
  </r>
  <r>
    <x v="6"/>
    <x v="12"/>
    <x v="239"/>
    <n v="11369857.539999999"/>
    <x v="1794"/>
    <x v="1792"/>
    <n v="1277692.74"/>
  </r>
  <r>
    <x v="3"/>
    <x v="12"/>
    <x v="239"/>
    <n v="34134481.659999996"/>
    <x v="1795"/>
    <x v="1793"/>
    <n v="2444391.4900000002"/>
  </r>
  <r>
    <x v="2"/>
    <x v="12"/>
    <x v="239"/>
    <n v="12652291.039999999"/>
    <x v="1796"/>
    <x v="1794"/>
    <n v="15088706.98"/>
  </r>
  <r>
    <x v="5"/>
    <x v="12"/>
    <x v="239"/>
    <n v="34778531.130000003"/>
    <x v="1797"/>
    <x v="1795"/>
    <n v="4526697.33"/>
  </r>
  <r>
    <x v="4"/>
    <x v="12"/>
    <x v="239"/>
    <n v="41331100.329999998"/>
    <x v="1798"/>
    <x v="1796"/>
    <n v="3712705.11"/>
  </r>
  <r>
    <x v="0"/>
    <x v="12"/>
    <x v="240"/>
    <n v="12294502.82"/>
    <x v="1799"/>
    <x v="1797"/>
    <n v="637281.41"/>
  </r>
  <r>
    <x v="5"/>
    <x v="12"/>
    <x v="240"/>
    <n v="25464417.059999999"/>
    <x v="1800"/>
    <x v="1798"/>
    <n v="4584939.96"/>
  </r>
  <r>
    <x v="1"/>
    <x v="12"/>
    <x v="240"/>
    <n v="1664479898.4100001"/>
    <x v="1801"/>
    <x v="1799"/>
    <n v="124561470.12"/>
  </r>
  <r>
    <x v="3"/>
    <x v="12"/>
    <x v="240"/>
    <n v="62224409.020000003"/>
    <x v="1802"/>
    <x v="1800"/>
    <n v="2384205.15"/>
  </r>
  <r>
    <x v="4"/>
    <x v="12"/>
    <x v="240"/>
    <n v="19262497.039999999"/>
    <x v="1803"/>
    <x v="1801"/>
    <n v="176741.74"/>
  </r>
  <r>
    <x v="2"/>
    <x v="12"/>
    <x v="240"/>
    <n v="35537944.57"/>
    <x v="1804"/>
    <x v="1802"/>
    <n v="14409354.75"/>
  </r>
  <r>
    <x v="7"/>
    <x v="12"/>
    <x v="240"/>
    <n v="14366009.76"/>
    <x v="1805"/>
    <x v="1803"/>
    <n v="12500293.27"/>
  </r>
  <r>
    <x v="6"/>
    <x v="12"/>
    <x v="240"/>
    <n v="18179874.170000002"/>
    <x v="1806"/>
    <x v="1804"/>
    <n v="909455.25"/>
  </r>
  <r>
    <x v="4"/>
    <x v="12"/>
    <x v="241"/>
    <n v="1619290.94"/>
    <x v="1807"/>
    <x v="1805"/>
    <n v="29874.63"/>
  </r>
  <r>
    <x v="2"/>
    <x v="12"/>
    <x v="241"/>
    <n v="-4976520.8"/>
    <x v="1808"/>
    <x v="1806"/>
    <n v="634317.92000000004"/>
  </r>
  <r>
    <x v="7"/>
    <x v="12"/>
    <x v="241"/>
    <n v="6455843.1100000003"/>
    <x v="1809"/>
    <x v="1807"/>
    <n v="654671.63"/>
  </r>
  <r>
    <x v="5"/>
    <x v="12"/>
    <x v="241"/>
    <n v="3778195.41"/>
    <x v="1810"/>
    <x v="1808"/>
    <n v="162568.38"/>
  </r>
  <r>
    <x v="0"/>
    <x v="12"/>
    <x v="241"/>
    <n v="4471107.2"/>
    <x v="1811"/>
    <x v="1809"/>
    <n v="30754.42"/>
  </r>
  <r>
    <x v="3"/>
    <x v="12"/>
    <x v="241"/>
    <n v="2967977.32"/>
    <x v="1812"/>
    <x v="1810"/>
    <n v="1101293.6299999999"/>
  </r>
  <r>
    <x v="1"/>
    <x v="12"/>
    <x v="241"/>
    <n v="97318416.700000003"/>
    <x v="1813"/>
    <x v="1811"/>
    <n v="6240759.1100000003"/>
  </r>
  <r>
    <x v="6"/>
    <x v="12"/>
    <x v="241"/>
    <n v="2513818.7599999998"/>
    <x v="1814"/>
    <x v="1812"/>
    <n v="20413.47"/>
  </r>
  <r>
    <x v="2"/>
    <x v="12"/>
    <x v="242"/>
    <n v="-1997150.83"/>
    <x v="1815"/>
    <x v="1813"/>
    <n v="1847514.35"/>
  </r>
  <r>
    <x v="3"/>
    <x v="12"/>
    <x v="242"/>
    <n v="3591099.88"/>
    <x v="1816"/>
    <x v="1814"/>
    <n v="2580018.4500000002"/>
  </r>
  <r>
    <x v="0"/>
    <x v="12"/>
    <x v="242"/>
    <n v="1793666.74"/>
    <x v="1817"/>
    <x v="1815"/>
    <n v="1072381.57"/>
  </r>
  <r>
    <x v="5"/>
    <x v="12"/>
    <x v="242"/>
    <n v="8793244.2100000009"/>
    <x v="1818"/>
    <x v="1816"/>
    <n v="1469739.33"/>
  </r>
  <r>
    <x v="7"/>
    <x v="12"/>
    <x v="242"/>
    <n v="6652930.1900000004"/>
    <x v="1819"/>
    <x v="1817"/>
    <n v="1528601.27"/>
  </r>
  <r>
    <x v="4"/>
    <x v="12"/>
    <x v="242"/>
    <n v="3137274.78"/>
    <x v="1820"/>
    <x v="1818"/>
    <n v="1169442.04"/>
  </r>
  <r>
    <x v="1"/>
    <x v="12"/>
    <x v="242"/>
    <n v="128044397.95"/>
    <x v="1821"/>
    <x v="1819"/>
    <n v="8883331.7699999996"/>
  </r>
  <r>
    <x v="6"/>
    <x v="12"/>
    <x v="242"/>
    <n v="382164.37"/>
    <x v="1822"/>
    <x v="1820"/>
    <n v="927732.66"/>
  </r>
  <r>
    <x v="5"/>
    <x v="12"/>
    <x v="243"/>
    <n v="2441368.9"/>
    <x v="1823"/>
    <x v="1821"/>
    <n v="2347374.7599999998"/>
  </r>
  <r>
    <x v="2"/>
    <x v="12"/>
    <x v="243"/>
    <n v="8026876.6600000001"/>
    <x v="1824"/>
    <x v="1822"/>
    <n v="5281991.97"/>
  </r>
  <r>
    <x v="6"/>
    <x v="12"/>
    <x v="243"/>
    <n v="1281071.73"/>
    <x v="1825"/>
    <x v="1823"/>
    <n v="188479.4"/>
  </r>
  <r>
    <x v="7"/>
    <x v="12"/>
    <x v="243"/>
    <n v="2753450.7"/>
    <x v="1826"/>
    <x v="1824"/>
    <n v="1689285.83"/>
  </r>
  <r>
    <x v="0"/>
    <x v="12"/>
    <x v="243"/>
    <n v="3763458"/>
    <x v="1827"/>
    <x v="1825"/>
    <n v="639460.93000000005"/>
  </r>
  <r>
    <x v="3"/>
    <x v="12"/>
    <x v="243"/>
    <n v="17262482.920000002"/>
    <x v="1828"/>
    <x v="1826"/>
    <n v="671759.05"/>
  </r>
  <r>
    <x v="1"/>
    <x v="12"/>
    <x v="243"/>
    <n v="501372634.98000002"/>
    <x v="1829"/>
    <x v="1827"/>
    <n v="33952251.149999999"/>
  </r>
  <r>
    <x v="4"/>
    <x v="12"/>
    <x v="243"/>
    <n v="48089743.18"/>
    <x v="1830"/>
    <x v="1828"/>
    <n v="806501.04"/>
  </r>
  <r>
    <x v="0"/>
    <x v="12"/>
    <x v="244"/>
    <n v="1983993.78"/>
    <x v="1831"/>
    <x v="1829"/>
    <n v="633472.84"/>
  </r>
  <r>
    <x v="4"/>
    <x v="12"/>
    <x v="244"/>
    <n v="23006439.25"/>
    <x v="1832"/>
    <x v="1830"/>
    <n v="527511.86"/>
  </r>
  <r>
    <x v="6"/>
    <x v="12"/>
    <x v="244"/>
    <n v="5759510.9400000004"/>
    <x v="1833"/>
    <x v="1831"/>
    <n v="330981.51"/>
  </r>
  <r>
    <x v="7"/>
    <x v="12"/>
    <x v="244"/>
    <n v="5114082.75"/>
    <x v="1834"/>
    <x v="1832"/>
    <n v="3001621.87"/>
  </r>
  <r>
    <x v="2"/>
    <x v="12"/>
    <x v="244"/>
    <n v="3838648.68"/>
    <x v="1835"/>
    <x v="1833"/>
    <n v="3810444.1"/>
  </r>
  <r>
    <x v="1"/>
    <x v="12"/>
    <x v="244"/>
    <n v="273632580.91000003"/>
    <x v="1836"/>
    <x v="1834"/>
    <n v="19679254.280000001"/>
  </r>
  <r>
    <x v="3"/>
    <x v="12"/>
    <x v="244"/>
    <n v="2449797.7000000002"/>
    <x v="1837"/>
    <x v="1835"/>
    <n v="1429673.24"/>
  </r>
  <r>
    <x v="5"/>
    <x v="12"/>
    <x v="244"/>
    <n v="17774754.210000001"/>
    <x v="1838"/>
    <x v="1836"/>
    <n v="1503401.17"/>
  </r>
  <r>
    <x v="2"/>
    <x v="12"/>
    <x v="245"/>
    <n v="179157170.50999999"/>
    <x v="1839"/>
    <x v="1837"/>
    <n v="14505900.76"/>
  </r>
  <r>
    <x v="3"/>
    <x v="12"/>
    <x v="245"/>
    <n v="184780653.86000001"/>
    <x v="1840"/>
    <x v="1838"/>
    <n v="11048186.449999999"/>
  </r>
  <r>
    <x v="1"/>
    <x v="12"/>
    <x v="245"/>
    <n v="181038694.13999999"/>
    <x v="1841"/>
    <x v="1839"/>
    <n v="180102853.99000001"/>
  </r>
  <r>
    <x v="4"/>
    <x v="12"/>
    <x v="245"/>
    <n v="255426596.66"/>
    <x v="1842"/>
    <x v="1840"/>
    <n v="11071379.470000001"/>
  </r>
  <r>
    <x v="6"/>
    <x v="12"/>
    <x v="245"/>
    <n v="13327881.23"/>
    <x v="1843"/>
    <x v="1841"/>
    <n v="5718820.0999999996"/>
  </r>
  <r>
    <x v="5"/>
    <x v="12"/>
    <x v="245"/>
    <n v="258184507.66999999"/>
    <x v="1844"/>
    <x v="1842"/>
    <n v="9653599.1600000001"/>
  </r>
  <r>
    <x v="0"/>
    <x v="12"/>
    <x v="245"/>
    <n v="201716929.19"/>
    <x v="1845"/>
    <x v="1843"/>
    <n v="5695534.3099999996"/>
  </r>
  <r>
    <x v="7"/>
    <x v="12"/>
    <x v="245"/>
    <n v="202582715.36000001"/>
    <x v="1846"/>
    <x v="1844"/>
    <n v="11847804.619999999"/>
  </r>
  <r>
    <x v="7"/>
    <x v="12"/>
    <x v="246"/>
    <n v="24022401.27"/>
    <x v="1847"/>
    <x v="1845"/>
    <n v="813204"/>
  </r>
  <r>
    <x v="0"/>
    <x v="12"/>
    <x v="246"/>
    <n v="4999147.25"/>
    <x v="1848"/>
    <x v="1846"/>
    <n v="4081780.32"/>
  </r>
  <r>
    <x v="2"/>
    <x v="12"/>
    <x v="246"/>
    <n v="35445012.530000001"/>
    <x v="1849"/>
    <x v="1847"/>
    <n v="3831202.34"/>
  </r>
  <r>
    <x v="5"/>
    <x v="12"/>
    <x v="246"/>
    <n v="120201818.63"/>
    <x v="1850"/>
    <x v="1848"/>
    <n v="1957570.46"/>
  </r>
  <r>
    <x v="4"/>
    <x v="12"/>
    <x v="246"/>
    <n v="6775960.4100000001"/>
    <x v="1851"/>
    <x v="1849"/>
    <n v="1003271.1"/>
  </r>
  <r>
    <x v="6"/>
    <x v="12"/>
    <x v="246"/>
    <n v="6867154.96"/>
    <x v="1852"/>
    <x v="1850"/>
    <n v="720925.62"/>
  </r>
  <r>
    <x v="3"/>
    <x v="12"/>
    <x v="246"/>
    <n v="4257730.75"/>
    <x v="1853"/>
    <x v="1851"/>
    <n v="1703797.64"/>
  </r>
  <r>
    <x v="1"/>
    <x v="12"/>
    <x v="246"/>
    <n v="63304618.93"/>
    <x v="1854"/>
    <x v="1852"/>
    <n v="18383611.710000001"/>
  </r>
  <r>
    <x v="4"/>
    <x v="12"/>
    <x v="247"/>
    <n v="33109627.949999999"/>
    <x v="1855"/>
    <x v="1853"/>
    <n v="1337280.29"/>
  </r>
  <r>
    <x v="3"/>
    <x v="12"/>
    <x v="247"/>
    <n v="53234931.07"/>
    <x v="1856"/>
    <x v="1854"/>
    <n v="1254624.46"/>
  </r>
  <r>
    <x v="6"/>
    <x v="12"/>
    <x v="247"/>
    <n v="4547480.6100000003"/>
    <x v="1857"/>
    <x v="1855"/>
    <n v="688425.81"/>
  </r>
  <r>
    <x v="2"/>
    <x v="12"/>
    <x v="247"/>
    <n v="24574439.399999999"/>
    <x v="1858"/>
    <x v="1856"/>
    <n v="3426412.98"/>
  </r>
  <r>
    <x v="5"/>
    <x v="12"/>
    <x v="247"/>
    <n v="64871057.359999999"/>
    <x v="1859"/>
    <x v="1857"/>
    <n v="1633867.94"/>
  </r>
  <r>
    <x v="1"/>
    <x v="12"/>
    <x v="247"/>
    <n v="163023475.09999999"/>
    <x v="1860"/>
    <x v="1858"/>
    <n v="44684543.07"/>
  </r>
  <r>
    <x v="7"/>
    <x v="12"/>
    <x v="247"/>
    <n v="81604798.930000007"/>
    <x v="1861"/>
    <x v="1859"/>
    <n v="2095951.26"/>
  </r>
  <r>
    <x v="0"/>
    <x v="12"/>
    <x v="247"/>
    <n v="22692883.030000001"/>
    <x v="1862"/>
    <x v="1860"/>
    <n v="1129300.57"/>
  </r>
  <r>
    <x v="7"/>
    <x v="12"/>
    <x v="248"/>
    <n v="15733120.710000001"/>
    <x v="1863"/>
    <x v="1861"/>
    <n v="5080047.99"/>
  </r>
  <r>
    <x v="3"/>
    <x v="12"/>
    <x v="248"/>
    <n v="7090557.9000000004"/>
    <x v="1864"/>
    <x v="1862"/>
    <n v="1159476.6399999999"/>
  </r>
  <r>
    <x v="1"/>
    <x v="12"/>
    <x v="248"/>
    <n v="687926754.84000003"/>
    <x v="1865"/>
    <x v="1863"/>
    <n v="60507106.340000004"/>
  </r>
  <r>
    <x v="2"/>
    <x v="12"/>
    <x v="248"/>
    <n v="557825.04"/>
    <x v="1866"/>
    <x v="1864"/>
    <n v="3128037.36"/>
  </r>
  <r>
    <x v="6"/>
    <x v="12"/>
    <x v="248"/>
    <n v="11356497.220000001"/>
    <x v="1867"/>
    <x v="1865"/>
    <n v="2106196.0099999998"/>
  </r>
  <r>
    <x v="4"/>
    <x v="12"/>
    <x v="248"/>
    <n v="4533942.2699999996"/>
    <x v="1868"/>
    <x v="1866"/>
    <n v="2886485.63"/>
  </r>
  <r>
    <x v="0"/>
    <x v="12"/>
    <x v="248"/>
    <n v="4057115.82"/>
    <x v="1869"/>
    <x v="1867"/>
    <n v="2139509.59"/>
  </r>
  <r>
    <x v="5"/>
    <x v="12"/>
    <x v="248"/>
    <n v="2492590.46"/>
    <x v="1870"/>
    <x v="1868"/>
    <n v="6065330.9400000004"/>
  </r>
  <r>
    <x v="3"/>
    <x v="12"/>
    <x v="249"/>
    <n v="4196126.7"/>
    <x v="1871"/>
    <x v="1869"/>
    <n v="1471492.31"/>
  </r>
  <r>
    <x v="0"/>
    <x v="12"/>
    <x v="249"/>
    <n v="3395414.65"/>
    <x v="1872"/>
    <x v="1870"/>
    <n v="333592.28000000003"/>
  </r>
  <r>
    <x v="1"/>
    <x v="12"/>
    <x v="249"/>
    <n v="267815311.99000001"/>
    <x v="1873"/>
    <x v="1871"/>
    <n v="21319538.43"/>
  </r>
  <r>
    <x v="2"/>
    <x v="12"/>
    <x v="249"/>
    <n v="3988994.83"/>
    <x v="1874"/>
    <x v="1872"/>
    <n v="5375549.5099999998"/>
  </r>
  <r>
    <x v="7"/>
    <x v="12"/>
    <x v="249"/>
    <n v="6348188.0499999998"/>
    <x v="1875"/>
    <x v="1873"/>
    <n v="2517422.59"/>
  </r>
  <r>
    <x v="4"/>
    <x v="12"/>
    <x v="249"/>
    <n v="8328850.8300000001"/>
    <x v="1876"/>
    <x v="1874"/>
    <n v="1650659.65"/>
  </r>
  <r>
    <x v="6"/>
    <x v="12"/>
    <x v="249"/>
    <n v="2335695.11"/>
    <x v="1877"/>
    <x v="1875"/>
    <n v="495948.69"/>
  </r>
  <r>
    <x v="5"/>
    <x v="12"/>
    <x v="249"/>
    <n v="22977459.34"/>
    <x v="1878"/>
    <x v="1876"/>
    <n v="1319701.71"/>
  </r>
  <r>
    <x v="1"/>
    <x v="12"/>
    <x v="250"/>
    <n v="590367805.83000004"/>
    <x v="1879"/>
    <x v="1877"/>
    <n v="76125642.840000004"/>
  </r>
  <r>
    <x v="5"/>
    <x v="12"/>
    <x v="250"/>
    <n v="9168531.3200000003"/>
    <x v="1880"/>
    <x v="1878"/>
    <n v="8361601.6799999997"/>
  </r>
  <r>
    <x v="4"/>
    <x v="12"/>
    <x v="250"/>
    <n v="36445423.630000003"/>
    <x v="1881"/>
    <x v="1879"/>
    <n v="6535700.0800000001"/>
  </r>
  <r>
    <x v="0"/>
    <x v="12"/>
    <x v="250"/>
    <n v="221229333.59999999"/>
    <x v="1882"/>
    <x v="1880"/>
    <n v="3193487.69"/>
  </r>
  <r>
    <x v="2"/>
    <x v="12"/>
    <x v="250"/>
    <n v="7735462.7800000003"/>
    <x v="1883"/>
    <x v="1881"/>
    <n v="13014878.800000001"/>
  </r>
  <r>
    <x v="6"/>
    <x v="12"/>
    <x v="250"/>
    <n v="13947576.68"/>
    <x v="1884"/>
    <x v="1882"/>
    <n v="4013943.66"/>
  </r>
  <r>
    <x v="7"/>
    <x v="12"/>
    <x v="250"/>
    <n v="6245723.4299999997"/>
    <x v="1885"/>
    <x v="1883"/>
    <n v="7554263.1799999997"/>
  </r>
  <r>
    <x v="3"/>
    <x v="12"/>
    <x v="250"/>
    <n v="14716894.060000001"/>
    <x v="1886"/>
    <x v="1884"/>
    <n v="6090002.9800000004"/>
  </r>
  <r>
    <x v="2"/>
    <x v="5"/>
    <x v="251"/>
    <n v="85780403.760000005"/>
    <x v="1887"/>
    <x v="1885"/>
    <n v="18720579.039999999"/>
  </r>
  <r>
    <x v="5"/>
    <x v="5"/>
    <x v="251"/>
    <n v="16924475.719999999"/>
    <x v="1888"/>
    <x v="1886"/>
    <n v="3774131.56"/>
  </r>
  <r>
    <x v="4"/>
    <x v="5"/>
    <x v="251"/>
    <n v="58878225.439999998"/>
    <x v="1889"/>
    <x v="1887"/>
    <n v="18570250.949999999"/>
  </r>
  <r>
    <x v="6"/>
    <x v="5"/>
    <x v="251"/>
    <n v="9356938.3399999999"/>
    <x v="1890"/>
    <x v="1888"/>
    <n v="3292425.76"/>
  </r>
  <r>
    <x v="0"/>
    <x v="5"/>
    <x v="251"/>
    <n v="24379735.579999998"/>
    <x v="1891"/>
    <x v="1889"/>
    <n v="17042505.789999999"/>
  </r>
  <r>
    <x v="7"/>
    <x v="5"/>
    <x v="251"/>
    <n v="42496235.119999997"/>
    <x v="1892"/>
    <x v="1890"/>
    <n v="13489625.6"/>
  </r>
  <r>
    <x v="3"/>
    <x v="5"/>
    <x v="251"/>
    <n v="127159438.37"/>
    <x v="1893"/>
    <x v="1891"/>
    <n v="14236651.220000001"/>
  </r>
  <r>
    <x v="1"/>
    <x v="5"/>
    <x v="251"/>
    <n v="174747683.99000001"/>
    <x v="1894"/>
    <x v="1892"/>
    <n v="17167699.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D181D4-07A9-4DC5-8B51-2395E4463266}" name="Tabela dinâmica8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8">
  <location ref="A346:B355" firstHeaderRow="1" firstDataRow="1" firstDataCol="1"/>
  <pivotFields count="8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35">
        <item x="18"/>
        <item x="19"/>
        <item x="1"/>
        <item x="13"/>
        <item x="11"/>
        <item x="12"/>
        <item x="29"/>
        <item x="10"/>
        <item x="3"/>
        <item x="25"/>
        <item x="20"/>
        <item x="4"/>
        <item x="17"/>
        <item x="5"/>
        <item x="23"/>
        <item x="8"/>
        <item x="7"/>
        <item x="6"/>
        <item x="21"/>
        <item x="22"/>
        <item x="16"/>
        <item x="33"/>
        <item x="9"/>
        <item x="15"/>
        <item x="26"/>
        <item x="27"/>
        <item x="14"/>
        <item x="31"/>
        <item x="0"/>
        <item x="32"/>
        <item x="30"/>
        <item x="2"/>
        <item x="28"/>
        <item x="24"/>
        <item t="default"/>
      </items>
    </pivotField>
    <pivotField showAll="0">
      <items count="253">
        <item x="193"/>
        <item x="90"/>
        <item x="47"/>
        <item x="10"/>
        <item x="26"/>
        <item x="190"/>
        <item x="1"/>
        <item x="44"/>
        <item x="43"/>
        <item x="46"/>
        <item x="117"/>
        <item x="51"/>
        <item x="36"/>
        <item x="32"/>
        <item x="41"/>
        <item x="195"/>
        <item x="113"/>
        <item x="99"/>
        <item x="162"/>
        <item x="157"/>
        <item x="37"/>
        <item x="28"/>
        <item x="35"/>
        <item x="30"/>
        <item x="84"/>
        <item x="163"/>
        <item x="160"/>
        <item x="20"/>
        <item x="201"/>
        <item x="100"/>
        <item x="167"/>
        <item x="15"/>
        <item x="25"/>
        <item x="48"/>
        <item x="197"/>
        <item x="83"/>
        <item x="88"/>
        <item x="89"/>
        <item x="80"/>
        <item x="166"/>
        <item x="21"/>
        <item x="76"/>
        <item x="207"/>
        <item x="203"/>
        <item x="227"/>
        <item x="229"/>
        <item x="211"/>
        <item x="245"/>
        <item x="214"/>
        <item x="216"/>
        <item x="235"/>
        <item x="206"/>
        <item x="234"/>
        <item x="218"/>
        <item x="239"/>
        <item x="240"/>
        <item x="237"/>
        <item x="221"/>
        <item x="222"/>
        <item x="247"/>
        <item x="248"/>
        <item x="220"/>
        <item x="75"/>
        <item x="209"/>
        <item x="246"/>
        <item x="243"/>
        <item x="244"/>
        <item x="18"/>
        <item x="19"/>
        <item x="250"/>
        <item x="208"/>
        <item x="212"/>
        <item x="223"/>
        <item x="215"/>
        <item x="249"/>
        <item x="73"/>
        <item x="205"/>
        <item x="63"/>
        <item x="230"/>
        <item x="58"/>
        <item x="57"/>
        <item x="59"/>
        <item x="238"/>
        <item x="67"/>
        <item x="69"/>
        <item x="71"/>
        <item x="217"/>
        <item x="62"/>
        <item x="74"/>
        <item x="65"/>
        <item x="64"/>
        <item x="224"/>
        <item x="72"/>
        <item x="61"/>
        <item x="66"/>
        <item x="70"/>
        <item x="158"/>
        <item x="45"/>
        <item x="49"/>
        <item x="109"/>
        <item x="101"/>
        <item x="60"/>
        <item x="236"/>
        <item x="68"/>
        <item x="122"/>
        <item x="134"/>
        <item x="118"/>
        <item x="135"/>
        <item x="136"/>
        <item x="154"/>
        <item x="137"/>
        <item x="125"/>
        <item x="140"/>
        <item x="148"/>
        <item x="149"/>
        <item x="151"/>
        <item x="138"/>
        <item x="139"/>
        <item x="142"/>
        <item x="121"/>
        <item x="126"/>
        <item x="146"/>
        <item x="152"/>
        <item x="127"/>
        <item x="119"/>
        <item x="130"/>
        <item x="150"/>
        <item x="132"/>
        <item x="133"/>
        <item x="120"/>
        <item x="123"/>
        <item x="124"/>
        <item x="147"/>
        <item x="143"/>
        <item x="141"/>
        <item x="144"/>
        <item x="153"/>
        <item x="145"/>
        <item x="155"/>
        <item x="128"/>
        <item x="129"/>
        <item x="131"/>
        <item x="204"/>
        <item x="233"/>
        <item x="202"/>
        <item x="38"/>
        <item x="232"/>
        <item x="242"/>
        <item x="226"/>
        <item x="241"/>
        <item x="210"/>
        <item x="213"/>
        <item x="219"/>
        <item x="228"/>
        <item x="225"/>
        <item x="231"/>
        <item x="182"/>
        <item x="40"/>
        <item x="29"/>
        <item x="251"/>
        <item x="27"/>
        <item x="171"/>
        <item x="191"/>
        <item x="53"/>
        <item x="159"/>
        <item x="156"/>
        <item x="54"/>
        <item x="31"/>
        <item x="14"/>
        <item x="192"/>
        <item x="85"/>
        <item x="107"/>
        <item x="103"/>
        <item x="95"/>
        <item x="105"/>
        <item x="16"/>
        <item x="179"/>
        <item x="11"/>
        <item x="3"/>
        <item x="39"/>
        <item x="4"/>
        <item x="173"/>
        <item x="200"/>
        <item x="98"/>
        <item x="178"/>
        <item x="42"/>
        <item x="174"/>
        <item x="55"/>
        <item x="110"/>
        <item x="52"/>
        <item x="8"/>
        <item x="5"/>
        <item x="33"/>
        <item x="50"/>
        <item x="161"/>
        <item x="93"/>
        <item x="82"/>
        <item x="189"/>
        <item x="7"/>
        <item x="34"/>
        <item x="186"/>
        <item x="176"/>
        <item x="12"/>
        <item x="106"/>
        <item x="164"/>
        <item x="112"/>
        <item x="184"/>
        <item x="104"/>
        <item x="9"/>
        <item x="116"/>
        <item x="114"/>
        <item x="194"/>
        <item x="168"/>
        <item x="185"/>
        <item x="180"/>
        <item x="91"/>
        <item x="81"/>
        <item x="183"/>
        <item x="165"/>
        <item x="22"/>
        <item x="24"/>
        <item x="23"/>
        <item x="17"/>
        <item x="111"/>
        <item x="56"/>
        <item x="13"/>
        <item x="92"/>
        <item x="170"/>
        <item x="198"/>
        <item x="199"/>
        <item x="196"/>
        <item x="79"/>
        <item x="77"/>
        <item x="78"/>
        <item x="187"/>
        <item x="94"/>
        <item x="181"/>
        <item x="96"/>
        <item x="175"/>
        <item x="102"/>
        <item x="172"/>
        <item x="108"/>
        <item x="115"/>
        <item x="2"/>
        <item x="97"/>
        <item x="0"/>
        <item x="177"/>
        <item x="169"/>
        <item x="6"/>
        <item x="87"/>
        <item x="86"/>
        <item x="188"/>
        <item t="default"/>
      </items>
    </pivotField>
    <pivotField showAll="0"/>
    <pivotField showAll="0"/>
    <pivotField dataField="1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7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oma de Valor Pago" fld="5" baseField="0" baseItem="0"/>
  </dataFields>
  <formats count="1">
    <format dxfId="0">
      <pivotArea outline="0" collapsedLevelsAreSubtotals="1" fieldPosition="0"/>
    </format>
  </formats>
  <chartFormats count="1">
    <chartFormat chart="1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F84EC5-552E-4525-B50C-F8A99E5C2CBB}" name="contagem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5">
  <location ref="J7:K16" firstHeaderRow="1" firstDataRow="1" firstDataCol="1"/>
  <pivotFields count="8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showAll="0"/>
    <pivotField showAll="0">
      <items count="253">
        <item x="193"/>
        <item x="90"/>
        <item x="47"/>
        <item x="10"/>
        <item x="26"/>
        <item x="190"/>
        <item x="1"/>
        <item x="44"/>
        <item x="43"/>
        <item x="46"/>
        <item x="117"/>
        <item x="51"/>
        <item x="36"/>
        <item x="32"/>
        <item x="41"/>
        <item x="195"/>
        <item x="113"/>
        <item x="99"/>
        <item x="162"/>
        <item x="157"/>
        <item x="37"/>
        <item x="28"/>
        <item x="35"/>
        <item x="30"/>
        <item x="84"/>
        <item x="163"/>
        <item x="160"/>
        <item x="20"/>
        <item x="201"/>
        <item x="100"/>
        <item x="167"/>
        <item x="15"/>
        <item x="25"/>
        <item x="48"/>
        <item x="197"/>
        <item x="83"/>
        <item x="88"/>
        <item x="89"/>
        <item x="80"/>
        <item x="166"/>
        <item x="21"/>
        <item x="76"/>
        <item x="207"/>
        <item x="203"/>
        <item x="227"/>
        <item x="229"/>
        <item x="211"/>
        <item x="245"/>
        <item x="214"/>
        <item x="216"/>
        <item x="235"/>
        <item x="206"/>
        <item x="234"/>
        <item x="218"/>
        <item x="239"/>
        <item x="240"/>
        <item x="237"/>
        <item x="221"/>
        <item x="222"/>
        <item x="247"/>
        <item x="248"/>
        <item x="220"/>
        <item x="75"/>
        <item x="209"/>
        <item x="246"/>
        <item x="243"/>
        <item x="244"/>
        <item x="18"/>
        <item x="19"/>
        <item x="250"/>
        <item x="208"/>
        <item x="212"/>
        <item x="223"/>
        <item x="215"/>
        <item x="249"/>
        <item x="73"/>
        <item x="205"/>
        <item x="63"/>
        <item x="230"/>
        <item x="58"/>
        <item x="57"/>
        <item x="59"/>
        <item x="238"/>
        <item x="67"/>
        <item x="69"/>
        <item x="71"/>
        <item x="217"/>
        <item x="62"/>
        <item x="74"/>
        <item x="65"/>
        <item x="64"/>
        <item x="224"/>
        <item x="72"/>
        <item x="61"/>
        <item x="66"/>
        <item x="70"/>
        <item x="158"/>
        <item x="45"/>
        <item x="49"/>
        <item x="109"/>
        <item x="101"/>
        <item x="60"/>
        <item x="236"/>
        <item x="68"/>
        <item x="122"/>
        <item x="134"/>
        <item x="118"/>
        <item x="135"/>
        <item x="136"/>
        <item x="154"/>
        <item x="137"/>
        <item x="125"/>
        <item x="140"/>
        <item x="148"/>
        <item x="149"/>
        <item x="151"/>
        <item x="138"/>
        <item x="139"/>
        <item x="142"/>
        <item x="121"/>
        <item x="126"/>
        <item x="146"/>
        <item x="152"/>
        <item x="127"/>
        <item x="119"/>
        <item x="130"/>
        <item x="150"/>
        <item x="132"/>
        <item x="133"/>
        <item x="120"/>
        <item x="123"/>
        <item x="124"/>
        <item x="147"/>
        <item x="143"/>
        <item x="141"/>
        <item x="144"/>
        <item x="153"/>
        <item x="145"/>
        <item x="155"/>
        <item x="128"/>
        <item x="129"/>
        <item x="131"/>
        <item x="204"/>
        <item x="233"/>
        <item x="202"/>
        <item x="38"/>
        <item x="232"/>
        <item x="242"/>
        <item x="226"/>
        <item x="241"/>
        <item x="210"/>
        <item x="213"/>
        <item x="219"/>
        <item x="228"/>
        <item x="225"/>
        <item x="231"/>
        <item x="182"/>
        <item x="40"/>
        <item x="29"/>
        <item x="251"/>
        <item x="27"/>
        <item x="171"/>
        <item x="191"/>
        <item x="53"/>
        <item x="159"/>
        <item x="156"/>
        <item x="54"/>
        <item x="31"/>
        <item x="14"/>
        <item x="192"/>
        <item x="85"/>
        <item x="107"/>
        <item x="103"/>
        <item x="95"/>
        <item x="105"/>
        <item x="16"/>
        <item x="179"/>
        <item x="11"/>
        <item x="3"/>
        <item x="39"/>
        <item x="4"/>
        <item x="173"/>
        <item x="200"/>
        <item x="98"/>
        <item x="178"/>
        <item x="42"/>
        <item x="174"/>
        <item x="55"/>
        <item x="110"/>
        <item x="52"/>
        <item x="8"/>
        <item x="5"/>
        <item x="33"/>
        <item x="50"/>
        <item x="161"/>
        <item x="93"/>
        <item x="82"/>
        <item x="189"/>
        <item x="7"/>
        <item x="34"/>
        <item x="186"/>
        <item x="176"/>
        <item x="12"/>
        <item x="106"/>
        <item x="164"/>
        <item x="112"/>
        <item x="184"/>
        <item x="104"/>
        <item x="9"/>
        <item x="116"/>
        <item x="114"/>
        <item x="194"/>
        <item x="168"/>
        <item x="185"/>
        <item x="180"/>
        <item x="91"/>
        <item x="81"/>
        <item x="183"/>
        <item x="165"/>
        <item x="22"/>
        <item x="24"/>
        <item x="23"/>
        <item x="17"/>
        <item x="111"/>
        <item x="56"/>
        <item x="13"/>
        <item x="92"/>
        <item x="170"/>
        <item x="198"/>
        <item x="199"/>
        <item x="196"/>
        <item x="79"/>
        <item x="77"/>
        <item x="78"/>
        <item x="187"/>
        <item x="94"/>
        <item x="181"/>
        <item x="96"/>
        <item x="175"/>
        <item x="102"/>
        <item x="172"/>
        <item x="108"/>
        <item x="115"/>
        <item x="2"/>
        <item x="97"/>
        <item x="0"/>
        <item x="177"/>
        <item x="169"/>
        <item x="6"/>
        <item x="87"/>
        <item x="86"/>
        <item x="188"/>
        <item t="default"/>
      </items>
    </pivotField>
    <pivotField showAll="0"/>
    <pivotField showAll="0">
      <items count="1896">
        <item x="1764"/>
        <item x="412"/>
        <item x="329"/>
        <item x="1438"/>
        <item x="703"/>
        <item x="431"/>
        <item x="1275"/>
        <item x="747"/>
        <item x="748"/>
        <item x="1277"/>
        <item x="1247"/>
        <item x="709"/>
        <item x="738"/>
        <item x="635"/>
        <item x="331"/>
        <item x="1306"/>
        <item x="1436"/>
        <item x="1276"/>
        <item x="325"/>
        <item x="328"/>
        <item x="653"/>
        <item x="654"/>
        <item x="656"/>
        <item x="659"/>
        <item x="657"/>
        <item x="655"/>
        <item x="706"/>
        <item x="632"/>
        <item x="705"/>
        <item x="1340"/>
        <item x="707"/>
        <item x="704"/>
        <item x="1251"/>
        <item x="433"/>
        <item x="330"/>
        <item x="1270"/>
        <item x="1279"/>
        <item x="1208"/>
        <item x="1305"/>
        <item x="1304"/>
        <item x="1309"/>
        <item x="136"/>
        <item x="429"/>
        <item x="135"/>
        <item x="1282"/>
        <item x="1252"/>
        <item x="428"/>
        <item x="1250"/>
        <item x="1248"/>
        <item x="1308"/>
        <item x="134"/>
        <item x="1343"/>
        <item x="430"/>
        <item x="1346"/>
        <item x="1730"/>
        <item x="1341"/>
        <item x="1728"/>
        <item x="1307"/>
        <item x="1292"/>
        <item x="397"/>
        <item x="1271"/>
        <item x="1249"/>
        <item x="1328"/>
        <item x="1269"/>
        <item x="764"/>
        <item x="1434"/>
        <item x="114"/>
        <item x="113"/>
        <item x="112"/>
        <item x="1278"/>
        <item x="1481"/>
        <item x="1686"/>
        <item x="116"/>
        <item x="115"/>
        <item x="1176"/>
        <item x="1435"/>
        <item x="1733"/>
        <item x="1433"/>
        <item x="138"/>
        <item x="719"/>
        <item x="1439"/>
        <item x="1432"/>
        <item x="1729"/>
        <item x="1731"/>
        <item x="333"/>
        <item x="1273"/>
        <item x="1280"/>
        <item x="364"/>
        <item x="133"/>
        <item x="140"/>
        <item x="1347"/>
        <item x="661"/>
        <item x="662"/>
        <item x="660"/>
        <item x="666"/>
        <item x="664"/>
        <item x="1437"/>
        <item x="665"/>
        <item x="1732"/>
        <item x="198"/>
        <item x="1734"/>
        <item x="139"/>
        <item x="1381"/>
        <item x="445"/>
        <item x="355"/>
        <item x="708"/>
        <item x="762"/>
        <item x="371"/>
        <item x="1474"/>
        <item x="137"/>
        <item x="761"/>
        <item x="336"/>
        <item x="763"/>
        <item x="370"/>
        <item x="1470"/>
        <item x="765"/>
        <item x="717"/>
        <item x="1272"/>
        <item x="767"/>
        <item x="721"/>
        <item x="1453"/>
        <item x="766"/>
        <item x="1822"/>
        <item x="332"/>
        <item x="339"/>
        <item x="1281"/>
        <item x="1561"/>
        <item x="488"/>
        <item x="1350"/>
        <item x="334"/>
        <item x="1454"/>
        <item x="760"/>
        <item x="1326"/>
        <item x="1520"/>
        <item x="1448"/>
        <item x="1178"/>
        <item x="326"/>
        <item x="338"/>
        <item x="953"/>
        <item x="678"/>
        <item x="337"/>
        <item x="701"/>
        <item x="1457"/>
        <item x="248"/>
        <item x="11"/>
        <item x="327"/>
        <item x="335"/>
        <item x="1449"/>
        <item x="1710"/>
        <item x="368"/>
        <item x="582"/>
        <item x="14"/>
        <item x="12"/>
        <item x="367"/>
        <item x="365"/>
        <item x="366"/>
        <item x="1177"/>
        <item x="1833"/>
        <item x="1741"/>
        <item x="505"/>
        <item x="369"/>
        <item x="1367"/>
        <item x="442"/>
        <item x="964"/>
        <item x="1179"/>
        <item x="251"/>
        <item x="1693"/>
        <item x="927"/>
        <item x="161"/>
        <item x="157"/>
        <item x="15"/>
        <item x="1327"/>
        <item x="680"/>
        <item x="1274"/>
        <item x="1351"/>
        <item x="1452"/>
        <item x="1814"/>
        <item x="1645"/>
        <item x="477"/>
        <item x="1497"/>
        <item x="1743"/>
        <item x="755"/>
        <item x="1108"/>
        <item x="446"/>
        <item x="432"/>
        <item x="447"/>
        <item x="444"/>
        <item x="1576"/>
        <item x="443"/>
        <item x="1589"/>
        <item x="1079"/>
        <item x="158"/>
        <item x="1180"/>
        <item x="600"/>
        <item x="1181"/>
        <item x="942"/>
        <item x="1635"/>
        <item x="1480"/>
        <item x="8"/>
        <item x="1450"/>
        <item x="53"/>
        <item x="1329"/>
        <item x="1455"/>
        <item x="1083"/>
        <item x="1545"/>
        <item x="389"/>
        <item x="1451"/>
        <item x="1877"/>
        <item x="555"/>
        <item x="1183"/>
        <item x="1467"/>
        <item x="10"/>
        <item x="448"/>
        <item x="1464"/>
        <item x="1484"/>
        <item x="309"/>
        <item x="1466"/>
        <item x="516"/>
        <item x="449"/>
        <item x="1465"/>
        <item x="1487"/>
        <item x="1486"/>
        <item x="1469"/>
        <item x="1825"/>
        <item x="160"/>
        <item x="1144"/>
        <item x="349"/>
        <item x="1482"/>
        <item x="1483"/>
        <item x="850"/>
        <item x="1182"/>
        <item x="245"/>
        <item x="749"/>
        <item x="247"/>
        <item x="13"/>
        <item x="1476"/>
        <item x="828"/>
        <item x="1468"/>
        <item x="9"/>
        <item x="1473"/>
        <item x="350"/>
        <item x="1011"/>
        <item x="675"/>
        <item x="148"/>
        <item x="674"/>
        <item x="1618"/>
        <item x="1446"/>
        <item x="1050"/>
        <item x="162"/>
        <item x="1471"/>
        <item x="1472"/>
        <item x="1141"/>
        <item x="886"/>
        <item x="1720"/>
        <item x="972"/>
        <item x="159"/>
        <item x="153"/>
        <item x="351"/>
        <item x="750"/>
        <item x="1852"/>
        <item x="1102"/>
        <item x="1485"/>
        <item x="354"/>
        <item x="250"/>
        <item x="1475"/>
        <item x="1121"/>
        <item x="1478"/>
        <item x="1030"/>
        <item x="1479"/>
        <item x="163"/>
        <item x="348"/>
        <item x="379"/>
        <item x="1774"/>
        <item x="376"/>
        <item x="409"/>
        <item x="1518"/>
        <item x="343"/>
        <item x="353"/>
        <item x="377"/>
        <item x="526"/>
        <item x="912"/>
        <item x="796"/>
        <item x="1019"/>
        <item x="1089"/>
        <item x="677"/>
        <item x="1384"/>
        <item x="1070"/>
        <item x="1322"/>
        <item x="679"/>
        <item x="404"/>
        <item x="171"/>
        <item x="1112"/>
        <item x="1477"/>
        <item x="1681"/>
        <item x="374"/>
        <item x="1032"/>
        <item x="1687"/>
        <item x="928"/>
        <item x="1683"/>
        <item x="831"/>
        <item x="1680"/>
        <item x="410"/>
        <item x="1684"/>
        <item x="1300"/>
        <item x="718"/>
        <item x="1685"/>
        <item x="249"/>
        <item x="1673"/>
        <item x="539"/>
        <item x="1361"/>
        <item x="352"/>
        <item x="910"/>
        <item x="1607"/>
        <item x="1130"/>
        <item x="1046"/>
        <item x="252"/>
        <item x="43"/>
        <item x="1533"/>
        <item x="164"/>
        <item x="676"/>
        <item x="871"/>
        <item x="1704"/>
        <item x="1884"/>
        <item x="720"/>
        <item x="372"/>
        <item x="681"/>
        <item x="32"/>
        <item x="344"/>
        <item x="1209"/>
        <item x="1365"/>
        <item x="1857"/>
        <item x="1706"/>
        <item x="340"/>
        <item x="897"/>
        <item x="246"/>
        <item x="1380"/>
        <item x="757"/>
        <item x="1708"/>
        <item x="1788"/>
        <item x="638"/>
        <item x="1682"/>
        <item x="845"/>
        <item x="19"/>
        <item x="874"/>
        <item x="818"/>
        <item x="859"/>
        <item x="131"/>
        <item x="1634"/>
        <item x="1362"/>
        <item x="1711"/>
        <item x="1059"/>
        <item x="792"/>
        <item x="1299"/>
        <item x="1385"/>
        <item x="1671"/>
        <item x="824"/>
        <item x="1709"/>
        <item x="378"/>
        <item x="1707"/>
        <item x="830"/>
        <item x="1441"/>
        <item x="1442"/>
        <item x="1637"/>
        <item x="982"/>
        <item x="893"/>
        <item x="826"/>
        <item x="497"/>
        <item x="127"/>
        <item x="825"/>
        <item x="403"/>
        <item x="568"/>
        <item x="401"/>
        <item x="396"/>
        <item x="754"/>
        <item x="1352"/>
        <item x="399"/>
        <item x="609"/>
        <item x="1564"/>
        <item x="1639"/>
        <item x="375"/>
        <item x="759"/>
        <item x="967"/>
        <item x="458"/>
        <item x="1298"/>
        <item x="1344"/>
        <item x="827"/>
        <item x="264"/>
        <item x="1160"/>
        <item x="411"/>
        <item x="400"/>
        <item x="311"/>
        <item x="373"/>
        <item x="1632"/>
        <item x="962"/>
        <item x="1301"/>
        <item x="829"/>
        <item x="398"/>
        <item x="673"/>
        <item x="313"/>
        <item x="341"/>
        <item x="1585"/>
        <item x="80"/>
        <item x="1588"/>
        <item x="1633"/>
        <item x="1713"/>
        <item x="965"/>
        <item x="588"/>
        <item x="128"/>
        <item x="758"/>
        <item x="1542"/>
        <item x="1890"/>
        <item x="1566"/>
        <item x="1705"/>
        <item x="1740"/>
        <item x="949"/>
        <item x="315"/>
        <item x="794"/>
        <item x="103"/>
        <item x="753"/>
        <item x="1808"/>
        <item x="407"/>
        <item x="312"/>
        <item x="1742"/>
        <item x="1694"/>
        <item x="1700"/>
        <item x="346"/>
        <item x="395"/>
        <item x="406"/>
        <item x="132"/>
        <item x="77"/>
        <item x="1809"/>
        <item x="125"/>
        <item x="1560"/>
        <item x="1688"/>
        <item x="1638"/>
        <item x="1695"/>
        <item x="82"/>
        <item x="1006"/>
        <item x="1736"/>
        <item x="548"/>
        <item x="1445"/>
        <item x="394"/>
        <item x="1567"/>
        <item x="87"/>
        <item x="963"/>
        <item x="48"/>
        <item x="957"/>
        <item x="1738"/>
        <item x="1296"/>
        <item x="960"/>
        <item x="512"/>
        <item x="1894"/>
        <item x="966"/>
        <item x="345"/>
        <item x="1586"/>
        <item x="1591"/>
        <item x="314"/>
        <item x="1562"/>
        <item x="1587"/>
        <item x="342"/>
        <item x="408"/>
        <item x="1348"/>
        <item x="756"/>
        <item x="1563"/>
        <item x="282"/>
        <item x="1211"/>
        <item x="1584"/>
        <item x="390"/>
        <item x="955"/>
        <item x="1164"/>
        <item x="1813"/>
        <item x="472"/>
        <item x="388"/>
        <item x="1735"/>
        <item x="1360"/>
        <item x="450"/>
        <item x="1737"/>
        <item x="921"/>
        <item x="788"/>
        <item x="81"/>
        <item x="1810"/>
        <item x="105"/>
        <item x="1354"/>
        <item x="1689"/>
        <item x="959"/>
        <item x="956"/>
        <item x="402"/>
        <item x="1812"/>
        <item x="64"/>
        <item x="49"/>
        <item x="347"/>
        <item x="129"/>
        <item x="392"/>
        <item x="393"/>
        <item x="668"/>
        <item x="126"/>
        <item x="922"/>
        <item x="72"/>
        <item x="83"/>
        <item x="1821"/>
        <item x="1811"/>
        <item x="1266"/>
        <item x="1636"/>
        <item x="926"/>
        <item x="920"/>
        <item x="405"/>
        <item x="1557"/>
        <item x="130"/>
        <item x="1391"/>
        <item x="1443"/>
        <item x="785"/>
        <item x="323"/>
        <item x="1692"/>
        <item x="52"/>
        <item x="1565"/>
        <item x="952"/>
        <item x="316"/>
        <item x="1502"/>
        <item x="799"/>
        <item x="958"/>
        <item x="669"/>
        <item x="1815"/>
        <item x="1819"/>
        <item x="1447"/>
        <item x="1657"/>
        <item x="961"/>
        <item x="1503"/>
        <item x="1867"/>
        <item x="1691"/>
        <item x="51"/>
        <item x="1892"/>
        <item x="1526"/>
        <item x="1389"/>
        <item x="795"/>
        <item x="793"/>
        <item x="1496"/>
        <item x="1654"/>
        <item x="1444"/>
        <item x="1590"/>
        <item x="1324"/>
        <item x="1393"/>
        <item x="489"/>
        <item x="1499"/>
        <item x="310"/>
        <item x="1302"/>
        <item x="1377"/>
        <item x="924"/>
        <item x="292"/>
        <item x="1818"/>
        <item x="1843"/>
        <item x="1573"/>
        <item x="1521"/>
        <item x="50"/>
        <item x="1816"/>
        <item x="1161"/>
        <item x="923"/>
        <item x="1807"/>
        <item x="991"/>
        <item x="752"/>
        <item x="54"/>
        <item x="1440"/>
        <item x="1527"/>
        <item x="1893"/>
        <item x="485"/>
        <item x="1386"/>
        <item x="1213"/>
        <item x="1379"/>
        <item x="1378"/>
        <item x="1498"/>
        <item x="1297"/>
        <item x="391"/>
        <item x="1522"/>
        <item x="1739"/>
        <item x="483"/>
        <item x="1489"/>
        <item x="1817"/>
        <item x="55"/>
        <item x="1356"/>
        <item x="834"/>
        <item x="1392"/>
        <item x="487"/>
        <item x="1501"/>
        <item x="1750"/>
        <item x="786"/>
        <item x="1523"/>
        <item x="790"/>
        <item x="1355"/>
        <item x="769"/>
        <item x="260"/>
        <item x="797"/>
        <item x="1072"/>
        <item x="1376"/>
        <item x="1303"/>
        <item x="73"/>
        <item x="1155"/>
        <item x="1073"/>
        <item x="954"/>
        <item x="602"/>
        <item x="798"/>
        <item x="554"/>
        <item x="1212"/>
        <item x="1690"/>
        <item x="1525"/>
        <item x="40"/>
        <item x="1012"/>
        <item x="199"/>
        <item x="1387"/>
        <item x="1748"/>
        <item x="484"/>
        <item x="426"/>
        <item x="1345"/>
        <item x="76"/>
        <item x="1096"/>
        <item x="1891"/>
        <item x="1887"/>
        <item x="1074"/>
        <item x="1214"/>
        <item x="917"/>
        <item x="556"/>
        <item x="531"/>
        <item x="1358"/>
        <item x="486"/>
        <item x="925"/>
        <item x="1010"/>
        <item x="1806"/>
        <item x="1747"/>
        <item x="201"/>
        <item x="1820"/>
        <item x="1076"/>
        <item x="203"/>
        <item x="1394"/>
        <item x="204"/>
        <item x="833"/>
        <item x="202"/>
        <item x="1749"/>
        <item x="200"/>
        <item x="1210"/>
        <item x="229"/>
        <item x="1500"/>
        <item x="1349"/>
        <item x="1888"/>
        <item x="1359"/>
        <item x="809"/>
        <item x="603"/>
        <item x="1614"/>
        <item x="1458"/>
        <item x="1753"/>
        <item x="1624"/>
        <item x="1580"/>
        <item x="914"/>
        <item x="791"/>
        <item x="557"/>
        <item x="649"/>
        <item x="1382"/>
        <item x="1524"/>
        <item x="253"/>
        <item x="1013"/>
        <item x="1014"/>
        <item x="1460"/>
        <item x="1642"/>
        <item x="1456"/>
        <item x="1582"/>
        <item x="1546"/>
        <item x="1078"/>
        <item x="121"/>
        <item x="42"/>
        <item x="1075"/>
        <item x="1579"/>
        <item x="1744"/>
        <item x="560"/>
        <item x="916"/>
        <item x="318"/>
        <item x="208"/>
        <item x="561"/>
        <item x="1162"/>
        <item x="1854"/>
        <item x="651"/>
        <item x="1647"/>
        <item x="1104"/>
        <item x="559"/>
        <item x="1847"/>
        <item x="1640"/>
        <item x="1578"/>
        <item x="1549"/>
        <item x="197"/>
        <item x="1390"/>
        <item x="663"/>
        <item x="1889"/>
        <item x="1644"/>
        <item x="839"/>
        <item x="1745"/>
        <item x="1459"/>
        <item x="1461"/>
        <item x="884"/>
        <item x="1105"/>
        <item x="784"/>
        <item x="1850"/>
        <item x="1463"/>
        <item x="573"/>
        <item x="482"/>
        <item x="1544"/>
        <item x="913"/>
        <item x="1101"/>
        <item x="1092"/>
        <item x="1008"/>
        <item x="1107"/>
        <item x="885"/>
        <item x="1291"/>
        <item x="1111"/>
        <item x="832"/>
        <item x="1295"/>
        <item x="1547"/>
        <item x="1016"/>
        <item x="1100"/>
        <item x="1513"/>
        <item x="1009"/>
        <item x="1849"/>
        <item x="1383"/>
        <item x="1325"/>
        <item x="883"/>
        <item x="46"/>
        <item x="476"/>
        <item x="94"/>
        <item x="1583"/>
        <item x="480"/>
        <item x="382"/>
        <item x="940"/>
        <item x="743"/>
        <item x="1581"/>
        <item x="608"/>
        <item x="1388"/>
        <item x="836"/>
        <item x="1357"/>
        <item x="1516"/>
        <item x="605"/>
        <item x="60"/>
        <item x="1873"/>
        <item x="1097"/>
        <item x="500"/>
        <item x="109"/>
        <item x="882"/>
        <item x="1646"/>
        <item x="1515"/>
        <item x="503"/>
        <item x="1077"/>
        <item x="1224"/>
        <item x="604"/>
        <item x="1512"/>
        <item x="1643"/>
        <item x="321"/>
        <item x="1021"/>
        <item x="479"/>
        <item x="541"/>
        <item x="1399"/>
        <item x="47"/>
        <item x="1022"/>
        <item x="915"/>
        <item x="1088"/>
        <item x="937"/>
        <item x="1093"/>
        <item x="1017"/>
        <item x="939"/>
        <item x="1320"/>
        <item x="1109"/>
        <item x="880"/>
        <item x="540"/>
        <item x="501"/>
        <item x="474"/>
        <item x="1170"/>
        <item x="1217"/>
        <item x="1848"/>
        <item x="499"/>
        <item x="1551"/>
        <item x="1853"/>
        <item x="1084"/>
        <item x="881"/>
        <item x="1163"/>
        <item x="1119"/>
        <item x="789"/>
        <item x="1773"/>
        <item x="1110"/>
        <item x="936"/>
        <item x="1834"/>
        <item x="1875"/>
        <item x="558"/>
        <item x="57"/>
        <item x="544"/>
        <item x="1098"/>
        <item x="1080"/>
        <item x="1746"/>
        <item x="918"/>
        <item x="1836"/>
        <item x="1321"/>
        <item x="700"/>
        <item x="1103"/>
        <item x="1095"/>
        <item x="606"/>
        <item x="317"/>
        <item x="1165"/>
        <item x="1835"/>
        <item x="1082"/>
        <item x="1113"/>
        <item x="1548"/>
        <item x="1401"/>
        <item x="1838"/>
        <item x="1794"/>
        <item x="838"/>
        <item x="1086"/>
        <item x="1770"/>
        <item x="227"/>
        <item x="746"/>
        <item x="1134"/>
        <item x="1222"/>
        <item x="1118"/>
        <item x="1020"/>
        <item x="1509"/>
        <item x="1462"/>
        <item x="683"/>
        <item x="840"/>
        <item x="1514"/>
        <item x="1874"/>
        <item x="324"/>
        <item x="61"/>
        <item x="1131"/>
        <item x="787"/>
        <item x="522"/>
        <item x="943"/>
        <item x="358"/>
        <item x="320"/>
        <item x="504"/>
        <item x="44"/>
        <item x="1146"/>
        <item x="478"/>
        <item x="941"/>
        <item x="780"/>
        <item x="481"/>
        <item x="41"/>
        <item x="1353"/>
        <item x="1094"/>
        <item x="607"/>
        <item x="1878"/>
        <item x="1145"/>
        <item x="1115"/>
        <item x="1366"/>
        <item x="821"/>
        <item x="502"/>
        <item x="847"/>
        <item x="1769"/>
        <item x="527"/>
        <item x="1577"/>
        <item x="1090"/>
        <item x="1831"/>
        <item x="846"/>
        <item x="1519"/>
        <item x="919"/>
        <item x="1085"/>
        <item x="1772"/>
        <item x="1592"/>
        <item x="583"/>
        <item x="819"/>
        <item x="598"/>
        <item x="547"/>
        <item x="1397"/>
        <item x="542"/>
        <item x="841"/>
        <item x="879"/>
        <item x="1837"/>
        <item x="1167"/>
        <item x="969"/>
        <item x="1015"/>
        <item x="848"/>
        <item x="106"/>
        <item x="835"/>
        <item x="1132"/>
        <item x="579"/>
        <item x="1106"/>
        <item x="1550"/>
        <item x="1150"/>
        <item x="1087"/>
        <item x="599"/>
        <item x="636"/>
        <item x="322"/>
        <item x="1099"/>
        <item x="1023"/>
        <item x="1129"/>
        <item x="1603"/>
        <item x="968"/>
        <item x="1318"/>
        <item x="1405"/>
        <item x="549"/>
        <item x="597"/>
        <item x="543"/>
        <item x="1147"/>
        <item x="523"/>
        <item x="585"/>
        <item x="79"/>
        <item x="887"/>
        <item x="1641"/>
        <item x="524"/>
        <item x="538"/>
        <item x="816"/>
        <item x="1619"/>
        <item x="1872"/>
        <item x="1117"/>
        <item x="873"/>
        <item x="639"/>
        <item x="877"/>
        <item x="837"/>
        <item x="45"/>
        <item x="578"/>
        <item x="1871"/>
        <item x="1403"/>
        <item x="546"/>
        <item x="854"/>
        <item x="1398"/>
        <item x="851"/>
        <item x="872"/>
        <item x="108"/>
        <item x="1116"/>
        <item x="550"/>
        <item x="1396"/>
        <item x="1768"/>
        <item x="853"/>
        <item x="938"/>
        <item x="144"/>
        <item x="650"/>
        <item x="1851"/>
        <item x="596"/>
        <item x="1151"/>
        <item x="817"/>
        <item x="1166"/>
        <item x="1018"/>
        <item x="1407"/>
        <item x="823"/>
        <item x="970"/>
        <item x="1128"/>
        <item x="843"/>
        <item x="1395"/>
        <item x="1767"/>
        <item x="1602"/>
        <item x="1149"/>
        <item x="1091"/>
        <item x="581"/>
        <item x="1123"/>
        <item x="1492"/>
        <item x="1402"/>
        <item x="1255"/>
        <item x="551"/>
        <item x="1135"/>
        <item x="1832"/>
        <item x="230"/>
        <item x="844"/>
        <item x="425"/>
        <item x="1319"/>
        <item x="1517"/>
        <item x="143"/>
        <item x="96"/>
        <item x="584"/>
        <item x="475"/>
        <item x="528"/>
        <item x="744"/>
        <item x="145"/>
        <item x="974"/>
        <item x="1606"/>
        <item x="671"/>
        <item x="1053"/>
        <item x="1122"/>
        <item x="1604"/>
        <item x="1406"/>
        <item x="59"/>
        <item x="525"/>
        <item x="876"/>
        <item x="233"/>
        <item x="1493"/>
        <item x="1052"/>
        <item x="1259"/>
        <item x="903"/>
        <item x="804"/>
        <item x="146"/>
        <item x="595"/>
        <item x="1220"/>
        <item x="1029"/>
        <item x="498"/>
        <item x="1216"/>
        <item x="74"/>
        <item x="290"/>
        <item x="878"/>
        <item x="1120"/>
        <item x="16"/>
        <item x="1001"/>
        <item x="20"/>
        <item x="896"/>
        <item x="822"/>
        <item x="973"/>
        <item x="601"/>
        <item x="1491"/>
        <item x="899"/>
        <item x="39"/>
        <item x="1114"/>
        <item x="901"/>
        <item x="1771"/>
        <item x="1049"/>
        <item x="142"/>
        <item x="1876"/>
        <item x="742"/>
        <item x="1081"/>
        <item x="110"/>
        <item x="852"/>
        <item x="552"/>
        <item x="1600"/>
        <item x="1215"/>
        <item x="1047"/>
        <item x="1125"/>
        <item x="545"/>
        <item x="101"/>
        <item x="1133"/>
        <item x="889"/>
        <item x="849"/>
        <item x="1143"/>
        <item x="150"/>
        <item x="107"/>
        <item x="147"/>
        <item x="1054"/>
        <item x="739"/>
        <item x="1404"/>
        <item x="994"/>
        <item x="1138"/>
        <item x="1066"/>
        <item x="1024"/>
        <item x="1620"/>
        <item x="1617"/>
        <item x="842"/>
        <item x="971"/>
        <item x="1490"/>
        <item x="875"/>
        <item x="22"/>
        <item x="1068"/>
        <item x="741"/>
        <item x="1007"/>
        <item x="424"/>
        <item x="1027"/>
        <item x="1031"/>
        <item x="149"/>
        <item x="1148"/>
        <item x="1035"/>
        <item x="1605"/>
        <item x="1064"/>
        <item x="1000"/>
        <item x="234"/>
        <item x="1140"/>
        <item x="1136"/>
        <item x="104"/>
        <item x="1621"/>
        <item x="1616"/>
        <item x="1124"/>
        <item x="890"/>
        <item x="1069"/>
        <item x="894"/>
        <item x="888"/>
        <item x="1003"/>
        <item x="285"/>
        <item x="17"/>
        <item x="1055"/>
        <item x="900"/>
        <item x="580"/>
        <item x="1126"/>
        <item x="111"/>
        <item x="1780"/>
        <item x="898"/>
        <item x="1044"/>
        <item x="154"/>
        <item x="98"/>
        <item x="23"/>
        <item x="1829"/>
        <item x="553"/>
        <item x="1043"/>
        <item x="1400"/>
        <item x="815"/>
        <item x="1042"/>
        <item x="688"/>
        <item x="18"/>
        <item x="155"/>
        <item x="529"/>
        <item x="1051"/>
        <item x="1033"/>
        <item x="1824"/>
        <item x="1026"/>
        <item x="820"/>
        <item x="1253"/>
        <item x="423"/>
        <item x="100"/>
        <item x="421"/>
        <item x="6"/>
        <item x="1142"/>
        <item x="78"/>
        <item x="892"/>
        <item x="1028"/>
        <item x="291"/>
        <item x="1622"/>
        <item x="1037"/>
        <item x="672"/>
        <item x="869"/>
        <item x="289"/>
        <item x="904"/>
        <item x="1071"/>
        <item x="56"/>
        <item x="1823"/>
        <item x="62"/>
        <item x="891"/>
        <item x="975"/>
        <item x="1067"/>
        <item x="1495"/>
        <item x="594"/>
        <item x="1265"/>
        <item x="1137"/>
        <item x="1786"/>
        <item x="221"/>
        <item x="152"/>
        <item x="1004"/>
        <item x="855"/>
        <item x="1723"/>
        <item x="670"/>
        <item x="1261"/>
        <item x="1038"/>
        <item x="1826"/>
        <item x="102"/>
        <item x="286"/>
        <item x="867"/>
        <item x="931"/>
        <item x="235"/>
        <item x="151"/>
        <item x="1045"/>
        <item x="856"/>
        <item x="929"/>
        <item x="99"/>
        <item x="141"/>
        <item x="1041"/>
        <item x="1005"/>
        <item x="1227"/>
        <item x="868"/>
        <item x="1828"/>
        <item x="1727"/>
        <item x="1865"/>
        <item x="287"/>
        <item x="1323"/>
        <item x="228"/>
        <item x="1725"/>
        <item x="909"/>
        <item x="63"/>
        <item x="911"/>
        <item x="1127"/>
        <item x="1827"/>
        <item x="908"/>
        <item x="231"/>
        <item x="866"/>
        <item x="1488"/>
        <item x="1860"/>
        <item x="1036"/>
        <item x="810"/>
        <item x="1494"/>
        <item x="319"/>
        <item x="232"/>
        <item x="420"/>
        <item x="21"/>
        <item x="1254"/>
        <item x="1787"/>
        <item x="648"/>
        <item x="933"/>
        <item x="995"/>
        <item x="1263"/>
        <item x="902"/>
        <item x="1039"/>
        <item x="1601"/>
        <item x="745"/>
        <item x="1061"/>
        <item x="427"/>
        <item x="1062"/>
        <item x="722"/>
        <item x="239"/>
        <item x="1861"/>
        <item x="930"/>
        <item x="58"/>
        <item x="69"/>
        <item x="223"/>
        <item x="1721"/>
        <item x="1229"/>
        <item x="860"/>
        <item x="1724"/>
        <item x="1048"/>
        <item x="857"/>
        <item x="1139"/>
        <item x="1726"/>
        <item x="1175"/>
        <item x="1056"/>
        <item x="895"/>
        <item x="165"/>
        <item x="281"/>
        <item x="862"/>
        <item x="1058"/>
        <item x="1784"/>
        <item x="515"/>
        <item x="236"/>
        <item x="906"/>
        <item x="1859"/>
        <item x="277"/>
        <item x="75"/>
        <item x="97"/>
        <item x="992"/>
        <item x="905"/>
        <item x="1790"/>
        <item x="259"/>
        <item x="864"/>
        <item x="870"/>
        <item x="1858"/>
        <item x="518"/>
        <item x="985"/>
        <item x="67"/>
        <item x="1623"/>
        <item x="934"/>
        <item x="170"/>
        <item x="997"/>
        <item x="1065"/>
        <item x="1783"/>
        <item x="168"/>
        <item x="1218"/>
        <item x="156"/>
        <item x="68"/>
        <item x="1866"/>
        <item x="1785"/>
        <item x="1040"/>
        <item x="1856"/>
        <item x="1870"/>
        <item x="811"/>
        <item x="935"/>
        <item x="589"/>
        <item x="520"/>
        <item x="1267"/>
        <item x="71"/>
        <item x="1025"/>
        <item x="1862"/>
        <item x="988"/>
        <item x="1200"/>
        <item x="1002"/>
        <item x="813"/>
        <item x="861"/>
        <item x="980"/>
        <item x="166"/>
        <item x="858"/>
        <item x="999"/>
        <item x="1057"/>
        <item x="1060"/>
        <item x="1168"/>
        <item x="172"/>
        <item x="517"/>
        <item x="1555"/>
        <item x="1268"/>
        <item x="989"/>
        <item x="1420"/>
        <item x="212"/>
        <item x="1264"/>
        <item x="998"/>
        <item x="225"/>
        <item x="462"/>
        <item x="65"/>
        <item x="1559"/>
        <item x="514"/>
        <item x="269"/>
        <item x="814"/>
        <item x="1830"/>
        <item x="521"/>
        <item x="167"/>
        <item x="1869"/>
        <item x="279"/>
        <item x="1864"/>
        <item x="1558"/>
        <item x="1221"/>
        <item x="1034"/>
        <item x="70"/>
        <item x="507"/>
        <item x="993"/>
        <item x="587"/>
        <item x="214"/>
        <item x="907"/>
        <item x="865"/>
        <item x="593"/>
        <item x="205"/>
        <item x="987"/>
        <item x="592"/>
        <item x="1169"/>
        <item x="1173"/>
        <item x="422"/>
        <item x="983"/>
        <item x="509"/>
        <item x="978"/>
        <item x="463"/>
        <item x="562"/>
        <item x="977"/>
        <item x="1722"/>
        <item x="1429"/>
        <item x="1553"/>
        <item x="492"/>
        <item x="31"/>
        <item x="863"/>
        <item x="637"/>
        <item x="226"/>
        <item x="932"/>
        <item x="215"/>
        <item x="990"/>
        <item x="1226"/>
        <item x="513"/>
        <item x="1174"/>
        <item x="496"/>
        <item x="1789"/>
        <item x="576"/>
        <item x="284"/>
        <item x="494"/>
        <item x="278"/>
        <item x="493"/>
        <item x="1552"/>
        <item x="984"/>
        <item x="464"/>
        <item x="1063"/>
        <item x="812"/>
        <item x="1428"/>
        <item x="1855"/>
        <item x="591"/>
        <item x="566"/>
        <item x="511"/>
        <item x="1556"/>
        <item x="1863"/>
        <item x="460"/>
        <item x="209"/>
        <item x="1538"/>
        <item x="1260"/>
        <item x="473"/>
        <item x="563"/>
        <item x="565"/>
        <item x="206"/>
        <item x="1674"/>
        <item x="222"/>
        <item x="590"/>
        <item x="979"/>
        <item x="1593"/>
        <item x="495"/>
        <item x="1225"/>
        <item x="946"/>
        <item x="506"/>
        <item x="1219"/>
        <item x="577"/>
        <item x="652"/>
        <item x="1677"/>
        <item x="1678"/>
        <item x="976"/>
        <item x="1879"/>
        <item x="490"/>
        <item x="574"/>
        <item x="1426"/>
        <item x="1171"/>
        <item x="1172"/>
        <item x="1883"/>
        <item x="1885"/>
        <item x="465"/>
        <item x="950"/>
        <item x="508"/>
        <item x="567"/>
        <item x="467"/>
        <item x="519"/>
        <item x="996"/>
        <item x="461"/>
        <item x="1262"/>
        <item x="1537"/>
        <item x="470"/>
        <item x="1539"/>
        <item x="1675"/>
        <item x="1541"/>
        <item x="1880"/>
        <item x="217"/>
        <item x="572"/>
        <item x="169"/>
        <item x="945"/>
        <item x="1364"/>
        <item x="276"/>
        <item x="634"/>
        <item x="1868"/>
        <item x="466"/>
        <item x="1599"/>
        <item x="947"/>
        <item x="569"/>
        <item x="1242"/>
        <item x="986"/>
        <item x="468"/>
        <item x="244"/>
        <item x="66"/>
        <item x="808"/>
        <item x="1228"/>
        <item x="1672"/>
        <item x="1598"/>
        <item x="218"/>
        <item x="288"/>
        <item x="575"/>
        <item x="1223"/>
        <item x="207"/>
        <item x="1679"/>
        <item x="471"/>
        <item x="571"/>
        <item x="1540"/>
        <item x="1717"/>
        <item x="1715"/>
        <item x="1597"/>
        <item x="723"/>
        <item x="283"/>
        <item x="1595"/>
        <item x="1375"/>
        <item x="1714"/>
        <item x="1712"/>
        <item x="1882"/>
        <item x="1886"/>
        <item x="238"/>
        <item x="1424"/>
        <item x="1257"/>
        <item x="263"/>
        <item x="1536"/>
        <item x="224"/>
        <item x="951"/>
        <item x="586"/>
        <item x="266"/>
        <item x="240"/>
        <item x="211"/>
        <item x="1414"/>
        <item x="1427"/>
        <item x="944"/>
        <item x="1554"/>
        <item x="216"/>
        <item x="981"/>
        <item x="1153"/>
        <item x="1594"/>
        <item x="805"/>
        <item x="510"/>
        <item x="241"/>
        <item x="219"/>
        <item x="265"/>
        <item x="491"/>
        <item x="261"/>
        <item x="459"/>
        <item x="1719"/>
        <item x="213"/>
        <item x="1152"/>
        <item x="1230"/>
        <item x="243"/>
        <item x="1425"/>
        <item x="564"/>
        <item x="1718"/>
        <item x="1430"/>
        <item x="220"/>
        <item x="268"/>
        <item x="210"/>
        <item x="262"/>
        <item x="1568"/>
        <item x="806"/>
        <item x="1159"/>
        <item x="570"/>
        <item x="1569"/>
        <item x="633"/>
        <item x="1157"/>
        <item x="1574"/>
        <item x="1543"/>
        <item x="1676"/>
        <item x="1570"/>
        <item x="469"/>
        <item x="1596"/>
        <item x="1669"/>
        <item x="807"/>
        <item x="536"/>
        <item x="1670"/>
        <item x="1665"/>
        <item x="1881"/>
        <item x="1154"/>
        <item x="1575"/>
        <item x="1664"/>
        <item x="948"/>
        <item x="1658"/>
        <item x="280"/>
        <item x="1431"/>
        <item x="533"/>
        <item x="1661"/>
        <item x="1659"/>
        <item x="1256"/>
        <item x="1761"/>
        <item x="803"/>
        <item x="257"/>
        <item x="1572"/>
        <item x="415"/>
        <item x="729"/>
        <item x="802"/>
        <item x="685"/>
        <item x="1313"/>
        <item x="1759"/>
        <item x="418"/>
        <item x="1699"/>
        <item x="771"/>
        <item x="782"/>
        <item x="1667"/>
        <item x="267"/>
        <item x="537"/>
        <item x="1666"/>
        <item x="1663"/>
        <item x="1696"/>
        <item x="1763"/>
        <item x="682"/>
        <item x="801"/>
        <item x="1716"/>
        <item x="778"/>
        <item x="1656"/>
        <item x="535"/>
        <item x="1760"/>
        <item x="534"/>
        <item x="1662"/>
        <item x="768"/>
        <item x="254"/>
        <item x="1793"/>
        <item x="532"/>
        <item x="728"/>
        <item x="417"/>
        <item x="1702"/>
        <item x="416"/>
        <item x="1628"/>
        <item x="1156"/>
        <item x="258"/>
        <item x="776"/>
        <item x="1703"/>
        <item x="1756"/>
        <item x="1631"/>
        <item x="419"/>
        <item x="1653"/>
        <item x="414"/>
        <item x="1762"/>
        <item x="360"/>
        <item x="1530"/>
        <item x="1529"/>
        <item x="779"/>
        <item x="1792"/>
        <item x="1765"/>
        <item x="1626"/>
        <item x="453"/>
        <item x="1505"/>
        <item x="454"/>
        <item x="772"/>
        <item x="1757"/>
        <item x="774"/>
        <item x="1649"/>
        <item x="1801"/>
        <item x="456"/>
        <item x="775"/>
        <item x="1701"/>
        <item x="1511"/>
        <item x="751"/>
        <item x="1797"/>
        <item x="1532"/>
        <item x="1796"/>
        <item x="457"/>
        <item x="1755"/>
        <item x="1630"/>
        <item x="1751"/>
        <item x="770"/>
        <item x="1571"/>
        <item x="1158"/>
        <item x="1697"/>
        <item x="777"/>
        <item x="1650"/>
        <item x="727"/>
        <item x="783"/>
        <item x="781"/>
        <item x="684"/>
        <item x="1655"/>
        <item x="1535"/>
        <item x="1203"/>
        <item x="1805"/>
        <item x="1800"/>
        <item x="1363"/>
        <item x="1627"/>
        <item x="1791"/>
        <item x="1331"/>
        <item x="1660"/>
        <item x="1648"/>
        <item x="255"/>
        <item x="1795"/>
        <item x="1510"/>
        <item x="1804"/>
        <item x="800"/>
        <item x="1651"/>
        <item x="1629"/>
        <item x="1752"/>
        <item x="1504"/>
        <item x="1534"/>
        <item x="773"/>
        <item x="1506"/>
        <item x="1668"/>
        <item x="1531"/>
        <item x="1207"/>
        <item x="35"/>
        <item x="451"/>
        <item x="1754"/>
        <item x="714"/>
        <item x="1201"/>
        <item x="1799"/>
        <item x="530"/>
        <item x="1802"/>
        <item x="1841"/>
        <item x="1508"/>
        <item x="1205"/>
        <item x="1839"/>
        <item x="1608"/>
        <item x="1844"/>
        <item x="38"/>
        <item x="1766"/>
        <item x="1193"/>
        <item x="242"/>
        <item x="1612"/>
        <item x="413"/>
        <item x="1846"/>
        <item x="690"/>
        <item x="726"/>
        <item x="1204"/>
        <item x="1698"/>
        <item x="455"/>
        <item x="1613"/>
        <item x="1840"/>
        <item x="1611"/>
        <item x="237"/>
        <item x="84"/>
        <item x="1528"/>
        <item x="686"/>
        <item x="689"/>
        <item x="1845"/>
        <item x="1625"/>
        <item x="86"/>
        <item x="381"/>
        <item x="716"/>
        <item x="1615"/>
        <item x="691"/>
        <item x="387"/>
        <item x="85"/>
        <item x="452"/>
        <item x="724"/>
        <item x="1652"/>
        <item x="1610"/>
        <item x="386"/>
        <item x="1803"/>
        <item x="1758"/>
        <item x="702"/>
        <item x="1507"/>
        <item x="256"/>
        <item x="687"/>
        <item x="30"/>
        <item x="1798"/>
        <item x="300"/>
        <item x="610"/>
        <item x="383"/>
        <item x="1258"/>
        <item x="274"/>
        <item x="385"/>
        <item x="296"/>
        <item x="1369"/>
        <item x="715"/>
        <item x="299"/>
        <item x="298"/>
        <item x="28"/>
        <item x="1368"/>
        <item x="1316"/>
        <item x="622"/>
        <item x="1330"/>
        <item x="1374"/>
        <item x="1842"/>
        <item x="297"/>
        <item x="384"/>
        <item x="294"/>
        <item x="713"/>
        <item x="306"/>
        <item x="1609"/>
        <item x="1194"/>
        <item x="119"/>
        <item x="117"/>
        <item x="1"/>
        <item x="436"/>
        <item x="1199"/>
        <item x="611"/>
        <item x="1370"/>
        <item x="1371"/>
        <item x="120"/>
        <item x="357"/>
        <item x="380"/>
        <item x="1196"/>
        <item x="7"/>
        <item x="439"/>
        <item x="1779"/>
        <item x="1197"/>
        <item x="24"/>
        <item x="1373"/>
        <item x="2"/>
        <item x="1781"/>
        <item x="5"/>
        <item x="1775"/>
        <item x="1312"/>
        <item x="123"/>
        <item x="1311"/>
        <item x="440"/>
        <item x="124"/>
        <item x="1314"/>
        <item x="118"/>
        <item x="1202"/>
        <item x="0"/>
        <item x="1317"/>
        <item x="362"/>
        <item x="614"/>
        <item x="3"/>
        <item x="1778"/>
        <item x="1372"/>
        <item x="1776"/>
        <item x="667"/>
        <item x="1782"/>
        <item x="295"/>
        <item x="175"/>
        <item x="711"/>
        <item x="29"/>
        <item x="356"/>
        <item x="1310"/>
        <item x="122"/>
        <item x="33"/>
        <item x="612"/>
        <item x="275"/>
        <item x="613"/>
        <item x="37"/>
        <item x="623"/>
        <item x="712"/>
        <item x="1422"/>
        <item x="4"/>
        <item x="615"/>
        <item x="725"/>
        <item x="1417"/>
        <item x="1418"/>
        <item x="1423"/>
        <item x="301"/>
        <item x="1777"/>
        <item x="363"/>
        <item x="1315"/>
        <item x="36"/>
        <item x="1419"/>
        <item x="1416"/>
        <item x="1198"/>
        <item x="1192"/>
        <item x="1206"/>
        <item x="435"/>
        <item x="434"/>
        <item x="621"/>
        <item x="359"/>
        <item x="361"/>
        <item x="740"/>
        <item x="293"/>
        <item x="437"/>
        <item x="616"/>
        <item x="26"/>
        <item x="25"/>
        <item x="710"/>
        <item x="1410"/>
        <item x="1421"/>
        <item x="304"/>
        <item x="1412"/>
        <item x="34"/>
        <item x="1408"/>
        <item x="27"/>
        <item x="1411"/>
        <item x="307"/>
        <item x="619"/>
        <item x="303"/>
        <item x="1415"/>
        <item x="1409"/>
        <item x="1195"/>
        <item x="270"/>
        <item x="89"/>
        <item x="305"/>
        <item x="302"/>
        <item x="441"/>
        <item x="1413"/>
        <item x="618"/>
        <item x="1294"/>
        <item x="1342"/>
        <item x="190"/>
        <item x="308"/>
        <item x="271"/>
        <item x="272"/>
        <item x="1185"/>
        <item x="624"/>
        <item x="273"/>
        <item x="620"/>
        <item x="438"/>
        <item x="627"/>
        <item x="182"/>
        <item x="629"/>
        <item x="631"/>
        <item x="626"/>
        <item x="177"/>
        <item x="174"/>
        <item x="630"/>
        <item x="176"/>
        <item x="180"/>
        <item x="186"/>
        <item x="181"/>
        <item x="178"/>
        <item x="188"/>
        <item x="187"/>
        <item x="731"/>
        <item x="179"/>
        <item x="185"/>
        <item x="628"/>
        <item x="617"/>
        <item x="625"/>
        <item x="658"/>
        <item x="734"/>
        <item x="184"/>
        <item x="1240"/>
        <item x="1241"/>
        <item x="1244"/>
        <item x="1246"/>
        <item x="647"/>
        <item x="1243"/>
        <item x="1239"/>
        <item x="93"/>
        <item x="92"/>
        <item x="90"/>
        <item x="173"/>
        <item x="183"/>
        <item x="1293"/>
        <item x="194"/>
        <item x="1245"/>
        <item x="192"/>
        <item x="195"/>
        <item x="191"/>
        <item x="694"/>
        <item x="189"/>
        <item x="193"/>
        <item x="645"/>
        <item x="736"/>
        <item x="730"/>
        <item x="91"/>
        <item x="732"/>
        <item x="196"/>
        <item x="735"/>
        <item x="733"/>
        <item x="737"/>
        <item x="95"/>
        <item x="88"/>
        <item x="1289"/>
        <item x="1187"/>
        <item x="1190"/>
        <item x="1186"/>
        <item x="1188"/>
        <item x="1191"/>
        <item x="1184"/>
        <item x="1290"/>
        <item x="1189"/>
        <item x="642"/>
        <item x="641"/>
        <item x="640"/>
        <item x="646"/>
        <item x="644"/>
        <item x="643"/>
        <item x="1287"/>
        <item x="1283"/>
        <item x="1285"/>
        <item x="1288"/>
        <item x="1335"/>
        <item x="1334"/>
        <item x="1338"/>
        <item x="1333"/>
        <item x="1332"/>
        <item x="1337"/>
        <item x="1284"/>
        <item x="1339"/>
        <item x="1336"/>
        <item x="1286"/>
        <item x="1236"/>
        <item x="695"/>
        <item x="696"/>
        <item x="698"/>
        <item x="697"/>
        <item x="692"/>
        <item x="1233"/>
        <item x="1231"/>
        <item x="1232"/>
        <item x="699"/>
        <item x="693"/>
        <item x="1238"/>
        <item x="1237"/>
        <item x="1235"/>
        <item x="1234"/>
        <item t="default"/>
      </items>
    </pivotField>
    <pivotField showAll="0">
      <items count="1894">
        <item x="329"/>
        <item x="1436"/>
        <item x="702"/>
        <item x="431"/>
        <item x="1273"/>
        <item x="746"/>
        <item x="747"/>
        <item x="1245"/>
        <item x="1275"/>
        <item x="708"/>
        <item x="135"/>
        <item x="737"/>
        <item x="635"/>
        <item x="331"/>
        <item x="1434"/>
        <item x="1304"/>
        <item x="325"/>
        <item x="328"/>
        <item x="653"/>
        <item x="654"/>
        <item x="656"/>
        <item x="659"/>
        <item x="657"/>
        <item x="655"/>
        <item x="433"/>
        <item x="705"/>
        <item x="1338"/>
        <item x="632"/>
        <item x="704"/>
        <item x="1249"/>
        <item x="706"/>
        <item x="1274"/>
        <item x="703"/>
        <item x="1175"/>
        <item x="1248"/>
        <item x="330"/>
        <item x="1268"/>
        <item x="1302"/>
        <item x="1303"/>
        <item x="429"/>
        <item x="1277"/>
        <item x="1306"/>
        <item x="371"/>
        <item x="1307"/>
        <item x="1280"/>
        <item x="134"/>
        <item x="1341"/>
        <item x="1246"/>
        <item x="1732"/>
        <item x="109"/>
        <item x="1344"/>
        <item x="430"/>
        <item x="1290"/>
        <item x="1726"/>
        <item x="1729"/>
        <item x="428"/>
        <item x="1339"/>
        <item x="1250"/>
        <item x="336"/>
        <item x="1305"/>
        <item x="1247"/>
        <item x="113"/>
        <item x="660"/>
        <item x="759"/>
        <item x="1269"/>
        <item x="1326"/>
        <item x="1267"/>
        <item x="1272"/>
        <item x="112"/>
        <item x="114"/>
        <item x="1276"/>
        <item x="1432"/>
        <item x="116"/>
        <item x="716"/>
        <item x="1452"/>
        <item x="1431"/>
        <item x="1433"/>
        <item x="136"/>
        <item x="1430"/>
        <item x="115"/>
        <item x="138"/>
        <item x="248"/>
        <item x="140"/>
        <item x="678"/>
        <item x="1730"/>
        <item x="1437"/>
        <item x="1271"/>
        <item x="1727"/>
        <item x="14"/>
        <item x="1278"/>
        <item x="1435"/>
        <item x="133"/>
        <item x="1728"/>
        <item x="1345"/>
        <item x="662"/>
        <item x="663"/>
        <item x="661"/>
        <item x="666"/>
        <item x="665"/>
        <item x="1731"/>
        <item x="442"/>
        <item x="139"/>
        <item x="409"/>
        <item x="762"/>
        <item x="766"/>
        <item x="707"/>
        <item x="157"/>
        <item x="1478"/>
        <item x="760"/>
        <item x="137"/>
        <item x="370"/>
        <item x="1464"/>
        <item x="761"/>
        <item x="720"/>
        <item x="718"/>
        <item x="764"/>
        <item x="349"/>
        <item x="332"/>
        <item x="1279"/>
        <item x="379"/>
        <item x="1298"/>
        <item x="339"/>
        <item x="1382"/>
        <item x="1474"/>
        <item x="763"/>
        <item x="1348"/>
        <item x="334"/>
        <item x="337"/>
        <item x="1324"/>
        <item x="1446"/>
        <item x="335"/>
        <item x="326"/>
        <item x="1177"/>
        <item x="344"/>
        <item x="315"/>
        <item x="765"/>
        <item x="338"/>
        <item x="327"/>
        <item x="369"/>
        <item x="368"/>
        <item x="1322"/>
        <item x="1447"/>
        <item x="333"/>
        <item x="12"/>
        <item x="830"/>
        <item x="791"/>
        <item x="364"/>
        <item x="366"/>
        <item x="365"/>
        <item x="1365"/>
        <item x="15"/>
        <item x="367"/>
        <item x="784"/>
        <item x="1681"/>
        <item x="1343"/>
        <item x="680"/>
        <item x="1892"/>
        <item x="1325"/>
        <item x="1702"/>
        <item x="1450"/>
        <item x="1349"/>
        <item x="1176"/>
        <item x="754"/>
        <item x="403"/>
        <item x="1178"/>
        <item x="1449"/>
        <item x="446"/>
        <item x="432"/>
        <item x="1391"/>
        <item x="1439"/>
        <item x="443"/>
        <item x="1182"/>
        <item x="1451"/>
        <item x="8"/>
        <item x="444"/>
        <item x="447"/>
        <item x="395"/>
        <item x="449"/>
        <item x="158"/>
        <item x="966"/>
        <item x="1180"/>
        <item x="1179"/>
        <item x="1453"/>
        <item x="1635"/>
        <item x="1465"/>
        <item x="1738"/>
        <item x="1181"/>
        <item x="1469"/>
        <item x="1159"/>
        <item x="1448"/>
        <item x="1562"/>
        <item x="675"/>
        <item x="10"/>
        <item x="1463"/>
        <item x="1480"/>
        <item x="1583"/>
        <item x="13"/>
        <item x="1467"/>
        <item x="1462"/>
        <item x="448"/>
        <item x="80"/>
        <item x="1693"/>
        <item x="160"/>
        <item x="1482"/>
        <item x="245"/>
        <item x="1485"/>
        <item x="77"/>
        <item x="48"/>
        <item x="748"/>
        <item x="956"/>
        <item x="445"/>
        <item x="1484"/>
        <item x="162"/>
        <item x="1483"/>
        <item x="1358"/>
        <item x="1500"/>
        <item x="920"/>
        <item x="247"/>
        <item x="1475"/>
        <item x="485"/>
        <item x="290"/>
        <item x="1811"/>
        <item x="350"/>
        <item x="1377"/>
        <item x="250"/>
        <item x="11"/>
        <item x="832"/>
        <item x="1471"/>
        <item x="163"/>
        <item x="1819"/>
        <item x="1470"/>
        <item x="159"/>
        <item x="161"/>
        <item x="9"/>
        <item x="749"/>
        <item x="674"/>
        <item x="354"/>
        <item x="351"/>
        <item x="1473"/>
        <item x="1477"/>
        <item x="1524"/>
        <item x="1095"/>
        <item x="1479"/>
        <item x="348"/>
        <item x="1270"/>
        <item x="352"/>
        <item x="1481"/>
        <item x="376"/>
        <item x="251"/>
        <item x="1466"/>
        <item x="377"/>
        <item x="1476"/>
        <item x="1679"/>
        <item x="318"/>
        <item x="1680"/>
        <item x="677"/>
        <item x="410"/>
        <item x="199"/>
        <item x="1682"/>
        <item x="1683"/>
        <item x="1468"/>
        <item x="1678"/>
        <item x="717"/>
        <item x="1748"/>
        <item x="1071"/>
        <item x="230"/>
        <item x="554"/>
        <item x="353"/>
        <item x="249"/>
        <item x="246"/>
        <item x="1011"/>
        <item x="602"/>
        <item x="252"/>
        <item x="676"/>
        <item x="1456"/>
        <item x="372"/>
        <item x="681"/>
        <item x="719"/>
        <item x="916"/>
        <item x="756"/>
        <item x="355"/>
        <item x="1706"/>
        <item x="1580"/>
        <item x="829"/>
        <item x="793"/>
        <item x="164"/>
        <item x="375"/>
        <item x="1704"/>
        <item x="1363"/>
        <item x="340"/>
        <item x="253"/>
        <item x="281"/>
        <item x="1207"/>
        <item x="1472"/>
        <item x="638"/>
        <item x="144"/>
        <item x="40"/>
        <item x="378"/>
        <item x="1685"/>
        <item x="1852"/>
        <item x="1544"/>
        <item x="1632"/>
        <item x="1640"/>
        <item x="131"/>
        <item x="1707"/>
        <item x="679"/>
        <item x="1360"/>
        <item x="1383"/>
        <item x="1215"/>
        <item x="826"/>
        <item x="1705"/>
        <item x="1091"/>
        <item x="1103"/>
        <item x="1617"/>
        <item x="823"/>
        <item x="1015"/>
        <item x="400"/>
        <item x="1703"/>
        <item x="824"/>
        <item x="651"/>
        <item x="1296"/>
        <item x="1511"/>
        <item x="94"/>
        <item x="939"/>
        <item x="881"/>
        <item x="1684"/>
        <item x="1299"/>
        <item x="406"/>
        <item x="408"/>
        <item x="753"/>
        <item x="1871"/>
        <item x="1630"/>
        <item x="476"/>
        <item x="1327"/>
        <item x="402"/>
        <item x="825"/>
        <item x="425"/>
        <item x="1297"/>
        <item x="1440"/>
        <item x="503"/>
        <item x="396"/>
        <item x="401"/>
        <item x="1169"/>
        <item x="125"/>
        <item x="1350"/>
        <item x="1487"/>
        <item x="1636"/>
        <item x="341"/>
        <item x="60"/>
        <item x="399"/>
        <item x="1834"/>
        <item x="959"/>
        <item x="1565"/>
        <item x="1079"/>
        <item x="820"/>
        <item x="827"/>
        <item x="1709"/>
        <item x="673"/>
        <item x="965"/>
        <item x="758"/>
        <item x="757"/>
        <item x="964"/>
        <item x="1118"/>
        <item x="1771"/>
        <item x="222"/>
        <item x="1808"/>
        <item x="1586"/>
        <item x="128"/>
        <item x="1294"/>
        <item x="1560"/>
        <item x="1631"/>
        <item x="1735"/>
        <item x="752"/>
        <item x="540"/>
        <item x="1740"/>
        <item x="1564"/>
        <item x="547"/>
        <item x="839"/>
        <item x="968"/>
        <item x="1441"/>
        <item x="1582"/>
        <item x="522"/>
        <item x="1686"/>
        <item x="1584"/>
        <item x="828"/>
        <item x="127"/>
        <item x="1225"/>
        <item x="394"/>
        <item x="1563"/>
        <item x="132"/>
        <item x="1399"/>
        <item x="347"/>
        <item x="1708"/>
        <item x="82"/>
        <item x="373"/>
        <item x="1379"/>
        <item x="312"/>
        <item x="1145"/>
        <item x="1443"/>
        <item x="1692"/>
        <item x="1734"/>
        <item x="313"/>
        <item x="1601"/>
        <item x="1133"/>
        <item x="1806"/>
        <item x="1637"/>
        <item x="1736"/>
        <item x="1634"/>
        <item x="411"/>
        <item x="316"/>
        <item x="393"/>
        <item x="1209"/>
        <item x="954"/>
        <item x="961"/>
        <item x="1687"/>
        <item x="314"/>
        <item x="130"/>
        <item x="598"/>
        <item x="1810"/>
        <item x="1208"/>
        <item x="847"/>
        <item x="87"/>
        <item x="1558"/>
        <item x="1807"/>
        <item x="878"/>
        <item x="1585"/>
        <item x="83"/>
        <item x="345"/>
        <item x="1346"/>
        <item x="390"/>
        <item x="578"/>
        <item x="342"/>
        <item x="84"/>
        <item x="407"/>
        <item x="951"/>
        <item x="311"/>
        <item x="1588"/>
        <item x="1122"/>
        <item x="81"/>
        <item x="1737"/>
        <item x="1863"/>
        <item x="953"/>
        <item x="925"/>
        <item x="405"/>
        <item x="1163"/>
        <item x="755"/>
        <item x="958"/>
        <item x="398"/>
        <item x="955"/>
        <item x="374"/>
        <item x="902"/>
        <item x="960"/>
        <item x="388"/>
        <item x="346"/>
        <item x="1438"/>
        <item x="1376"/>
        <item x="49"/>
        <item x="814"/>
        <item x="129"/>
        <item x="391"/>
        <item x="1352"/>
        <item x="921"/>
        <item x="1817"/>
        <item x="72"/>
        <item x="962"/>
        <item x="126"/>
        <item x="668"/>
        <item x="96"/>
        <item x="51"/>
        <item x="1374"/>
        <item x="20"/>
        <item x="1263"/>
        <item x="1689"/>
        <item x="1000"/>
        <item x="1375"/>
        <item x="1051"/>
        <item x="798"/>
        <item x="922"/>
        <item x="404"/>
        <item x="54"/>
        <item x="919"/>
        <item x="1028"/>
        <item x="1805"/>
        <item x="1818"/>
        <item x="1501"/>
        <item x="1816"/>
        <item x="1046"/>
        <item x="1445"/>
        <item x="669"/>
        <item x="1142"/>
        <item x="888"/>
        <item x="1561"/>
        <item x="1809"/>
        <item x="1589"/>
        <item x="1498"/>
        <item x="1827"/>
        <item x="1559"/>
        <item x="310"/>
        <item x="1065"/>
        <item x="1813"/>
        <item x="1387"/>
        <item x="1814"/>
        <item x="787"/>
        <item x="55"/>
        <item x="397"/>
        <item x="1389"/>
        <item x="1688"/>
        <item x="751"/>
        <item x="1523"/>
        <item x="1034"/>
        <item x="1733"/>
        <item x="52"/>
        <item x="309"/>
        <item x="417"/>
        <item x="797"/>
        <item x="1497"/>
        <item x="1494"/>
        <item x="1519"/>
        <item x="794"/>
        <item x="1211"/>
        <item x="1384"/>
        <item x="1354"/>
        <item x="1633"/>
        <item x="343"/>
        <item x="924"/>
        <item x="483"/>
        <item x="1499"/>
        <item x="963"/>
        <item x="489"/>
        <item x="73"/>
        <item x="1890"/>
        <item x="1725"/>
        <item x="792"/>
        <item x="1300"/>
        <item x="1525"/>
        <item x="487"/>
        <item x="903"/>
        <item x="1690"/>
        <item x="154"/>
        <item x="484"/>
        <item x="1885"/>
        <item x="1812"/>
        <item x="1381"/>
        <item x="165"/>
        <item x="1520"/>
        <item x="200"/>
        <item x="392"/>
        <item x="1522"/>
        <item x="1442"/>
        <item x="1353"/>
        <item x="789"/>
        <item x="868"/>
        <item x="796"/>
        <item x="1746"/>
        <item x="1785"/>
        <item x="1357"/>
        <item x="1891"/>
        <item x="482"/>
        <item x="358"/>
        <item x="930"/>
        <item x="203"/>
        <item x="855"/>
        <item x="1072"/>
        <item x="1390"/>
        <item x="202"/>
        <item x="1587"/>
        <item x="1858"/>
        <item x="117"/>
        <item x="1739"/>
        <item x="556"/>
        <item x="1295"/>
        <item x="389"/>
        <item x="50"/>
        <item x="957"/>
        <item x="1077"/>
        <item x="1747"/>
        <item x="1009"/>
        <item x="1691"/>
        <item x="603"/>
        <item x="1073"/>
        <item x="76"/>
        <item x="53"/>
        <item x="1060"/>
        <item x="913"/>
        <item x="1887"/>
        <item x="1075"/>
        <item x="994"/>
        <item x="952"/>
        <item x="1444"/>
        <item x="923"/>
        <item x="1461"/>
        <item x="589"/>
        <item x="515"/>
        <item x="69"/>
        <item x="1212"/>
        <item x="1742"/>
        <item x="1815"/>
        <item x="1745"/>
        <item x="561"/>
        <item x="197"/>
        <item x="1347"/>
        <item x="1744"/>
        <item x="790"/>
        <item x="838"/>
        <item x="204"/>
        <item x="688"/>
        <item x="1886"/>
        <item x="1013"/>
        <item x="1496"/>
        <item x="1355"/>
        <item x="557"/>
        <item x="1007"/>
        <item x="984"/>
        <item x="1521"/>
        <item x="42"/>
        <item x="1581"/>
        <item x="1012"/>
        <item x="560"/>
        <item x="1577"/>
        <item x="1458"/>
        <item x="1578"/>
        <item x="926"/>
        <item x="1454"/>
        <item x="1076"/>
        <item x="1014"/>
        <item x="1542"/>
        <item x="462"/>
        <item x="1386"/>
        <item x="1293"/>
        <item x="201"/>
        <item x="1642"/>
        <item x="606"/>
        <item x="788"/>
        <item x="1388"/>
        <item x="269"/>
        <item x="1557"/>
        <item x="912"/>
        <item x="1641"/>
        <item x="1845"/>
        <item x="683"/>
        <item x="1645"/>
        <item x="1576"/>
        <item x="1104"/>
        <item x="1575"/>
        <item x="1378"/>
        <item x="1108"/>
        <item x="1672"/>
        <item x="558"/>
        <item x="1495"/>
        <item x="1889"/>
        <item x="1820"/>
        <item x="562"/>
        <item x="1545"/>
        <item x="783"/>
        <item x="1848"/>
        <item x="979"/>
        <item x="1549"/>
        <item x="1161"/>
        <item x="1638"/>
        <item x="486"/>
        <item x="321"/>
        <item x="915"/>
        <item x="664"/>
        <item x="1152"/>
        <item x="1460"/>
        <item x="1457"/>
        <item x="1851"/>
        <item x="1097"/>
        <item x="914"/>
        <item x="1100"/>
        <item x="1099"/>
        <item x="1110"/>
        <item x="1847"/>
        <item x="835"/>
        <item x="1356"/>
        <item x="1092"/>
        <item x="918"/>
        <item x="322"/>
        <item x="795"/>
        <item x="882"/>
        <item x="1106"/>
        <item x="1512"/>
        <item x="1591"/>
        <item x="1323"/>
        <item x="1096"/>
        <item x="492"/>
        <item x="1162"/>
        <item x="1020"/>
        <item x="480"/>
        <item x="1547"/>
        <item x="1518"/>
        <item x="479"/>
        <item x="742"/>
        <item x="883"/>
        <item x="1301"/>
        <item x="1514"/>
        <item x="1019"/>
        <item x="1513"/>
        <item x="604"/>
        <item x="1536"/>
        <item x="1074"/>
        <item x="745"/>
        <item x="473"/>
        <item x="576"/>
        <item x="884"/>
        <item x="607"/>
        <item x="940"/>
        <item x="41"/>
        <item x="1397"/>
        <item x="1849"/>
        <item x="500"/>
        <item x="46"/>
        <item x="879"/>
        <item x="1510"/>
        <item x="935"/>
        <item x="1160"/>
        <item x="317"/>
        <item x="478"/>
        <item x="502"/>
        <item x="47"/>
        <item x="1873"/>
        <item x="1888"/>
        <item x="1490"/>
        <item x="507"/>
        <item x="1639"/>
        <item x="1713"/>
        <item x="499"/>
        <item x="1257"/>
        <item x="836"/>
        <item x="1093"/>
        <item x="474"/>
        <item x="938"/>
        <item x="1426"/>
        <item x="937"/>
        <item x="831"/>
        <item x="541"/>
        <item x="1094"/>
        <item x="1084"/>
        <item x="501"/>
        <item x="1318"/>
        <item x="1021"/>
        <item x="608"/>
        <item x="198"/>
        <item x="544"/>
        <item x="1342"/>
        <item x="1105"/>
        <item x="1515"/>
        <item x="886"/>
        <item x="475"/>
        <item x="1743"/>
        <item x="1548"/>
        <item x="1768"/>
        <item x="804"/>
        <item x="1317"/>
        <item x="1832"/>
        <item x="212"/>
        <item x="488"/>
        <item x="1083"/>
        <item x="1016"/>
        <item x="1351"/>
        <item x="1112"/>
        <item x="559"/>
        <item x="1098"/>
        <item x="700"/>
        <item x="1836"/>
        <item x="1085"/>
        <item x="1087"/>
        <item x="945"/>
        <item x="837"/>
        <item x="1833"/>
        <item x="1319"/>
        <item x="529"/>
        <item x="1872"/>
        <item x="936"/>
        <item x="1081"/>
        <item x="1835"/>
        <item x="1869"/>
        <item x="1359"/>
        <item x="1459"/>
        <item x="45"/>
        <item x="1017"/>
        <item x="1220"/>
        <item x="1130"/>
        <item x="1116"/>
        <item x="1393"/>
        <item x="605"/>
        <item x="846"/>
        <item x="542"/>
        <item x="1114"/>
        <item x="1117"/>
        <item x="967"/>
        <item x="1380"/>
        <item x="1385"/>
        <item x="527"/>
        <item x="1078"/>
        <item x="1876"/>
        <item x="543"/>
        <item x="1765"/>
        <item x="61"/>
        <item x="324"/>
        <item x="773"/>
        <item x="555"/>
        <item x="1546"/>
        <item x="320"/>
        <item x="581"/>
        <item x="842"/>
        <item x="1877"/>
        <item x="498"/>
        <item x="1364"/>
        <item x="1090"/>
        <item x="1164"/>
        <item x="1767"/>
        <item x="1128"/>
        <item x="1147"/>
        <item x="1770"/>
        <item x="1148"/>
        <item x="1144"/>
        <item x="840"/>
        <item x="106"/>
        <item x="1579"/>
        <item x="551"/>
        <item x="1830"/>
        <item x="1769"/>
        <item x="44"/>
        <item x="1008"/>
        <item x="1874"/>
        <item x="1166"/>
        <item x="1741"/>
        <item x="599"/>
        <item x="1488"/>
        <item x="1404"/>
        <item x="818"/>
        <item x="528"/>
        <item x="917"/>
        <item x="1131"/>
        <item x="546"/>
        <item x="1080"/>
        <item x="876"/>
        <item x="579"/>
        <item x="845"/>
        <item x="1644"/>
        <item x="1149"/>
        <item x="853"/>
        <item x="1109"/>
        <item x="1102"/>
        <item x="108"/>
        <item x="636"/>
        <item x="296"/>
        <item x="819"/>
        <item x="880"/>
        <item x="585"/>
        <item x="597"/>
        <item x="595"/>
        <item x="1489"/>
        <item x="545"/>
        <item x="1165"/>
        <item x="1132"/>
        <item x="609"/>
        <item x="323"/>
        <item x="877"/>
        <item x="549"/>
        <item x="523"/>
        <item x="1146"/>
        <item x="39"/>
        <item x="1392"/>
        <item x="1598"/>
        <item x="815"/>
        <item x="1202"/>
        <item x="785"/>
        <item x="1455"/>
        <item x="1604"/>
        <item x="1113"/>
        <item x="872"/>
        <item x="524"/>
        <item x="1010"/>
        <item x="639"/>
        <item x="142"/>
        <item x="1829"/>
        <item x="1394"/>
        <item x="266"/>
        <item x="583"/>
        <item x="852"/>
        <item x="1214"/>
        <item x="649"/>
        <item x="972"/>
        <item x="816"/>
        <item x="911"/>
        <item x="885"/>
        <item x="1210"/>
        <item x="596"/>
        <item x="43"/>
        <item x="101"/>
        <item x="848"/>
        <item x="1134"/>
        <item x="1289"/>
        <item x="1396"/>
        <item x="786"/>
        <item x="1846"/>
        <item x="1400"/>
        <item x="235"/>
        <item x="74"/>
        <item x="1089"/>
        <item x="973"/>
        <item x="650"/>
        <item x="110"/>
        <item x="1401"/>
        <item x="504"/>
        <item x="243"/>
        <item x="1405"/>
        <item x="871"/>
        <item x="850"/>
        <item x="942"/>
        <item x="1574"/>
        <item x="841"/>
        <item x="1621"/>
        <item x="1101"/>
        <item x="1121"/>
        <item x="1667"/>
        <item x="1402"/>
        <item x="821"/>
        <item x="1643"/>
        <item x="1600"/>
        <item x="143"/>
        <item x="580"/>
        <item x="550"/>
        <item x="1107"/>
        <item x="974"/>
        <item x="104"/>
        <item x="481"/>
        <item x="1517"/>
        <item x="671"/>
        <item x="1659"/>
        <item x="854"/>
        <item x="1052"/>
        <item x="899"/>
        <item x="1395"/>
        <item x="553"/>
        <item x="1566"/>
        <item x="874"/>
        <item x="743"/>
        <item x="1123"/>
        <item x="1619"/>
        <item x="1850"/>
        <item x="1543"/>
        <item x="895"/>
        <item x="1022"/>
        <item x="1124"/>
        <item x="1119"/>
        <item x="62"/>
        <item x="1126"/>
        <item x="834"/>
        <item x="1870"/>
        <item x="741"/>
        <item x="1602"/>
        <item x="969"/>
        <item x="1316"/>
        <item x="900"/>
        <item x="146"/>
        <item x="177"/>
        <item x="1023"/>
        <item x="1048"/>
        <item x="1115"/>
        <item x="1006"/>
        <item x="1697"/>
        <item x="477"/>
        <item x="1614"/>
        <item x="1025"/>
        <item x="594"/>
        <item x="1050"/>
        <item x="145"/>
        <item x="1599"/>
        <item x="16"/>
        <item x="1141"/>
        <item x="1086"/>
        <item x="141"/>
        <item x="1053"/>
        <item x="1758"/>
        <item x="898"/>
        <item x="1320"/>
        <item x="1831"/>
        <item x="1066"/>
        <item x="1137"/>
        <item x="941"/>
        <item x="1213"/>
        <item x="1127"/>
        <item x="1018"/>
        <item x="111"/>
        <item x="424"/>
        <item x="1003"/>
        <item x="890"/>
        <item x="538"/>
        <item x="887"/>
        <item x="1043"/>
        <item x="215"/>
        <item x="1766"/>
        <item x="738"/>
        <item x="740"/>
        <item x="21"/>
        <item x="1618"/>
        <item x="1067"/>
        <item x="150"/>
        <item x="286"/>
        <item x="152"/>
        <item x="875"/>
        <item x="505"/>
        <item x="149"/>
        <item x="1030"/>
        <item x="1516"/>
        <item x="1040"/>
        <item x="843"/>
        <item x="601"/>
        <item x="1002"/>
        <item x="22"/>
        <item x="1138"/>
        <item x="1026"/>
        <item x="1790"/>
        <item x="1135"/>
        <item x="1258"/>
        <item x="1063"/>
        <item x="1150"/>
        <item x="1626"/>
        <item x="17"/>
        <item x="893"/>
        <item x="291"/>
        <item x="1088"/>
        <item x="1082"/>
        <item x="1037"/>
        <item x="539"/>
        <item x="1068"/>
        <item x="63"/>
        <item x="584"/>
        <item x="1139"/>
        <item x="99"/>
        <item x="1651"/>
        <item x="155"/>
        <item x="894"/>
        <item x="97"/>
        <item x="285"/>
        <item x="1826"/>
        <item x="59"/>
        <item x="999"/>
        <item x="552"/>
        <item x="1615"/>
        <item x="525"/>
        <item x="1875"/>
        <item x="537"/>
        <item x="23"/>
        <item x="98"/>
        <item x="1035"/>
        <item x="32"/>
        <item x="901"/>
        <item x="833"/>
        <item x="1111"/>
        <item x="889"/>
        <item x="1527"/>
        <item x="1828"/>
        <item x="1772"/>
        <item x="1042"/>
        <item x="1129"/>
        <item x="1824"/>
        <item x="1047"/>
        <item x="1143"/>
        <item x="381"/>
        <item x="147"/>
        <item x="1039"/>
        <item x="421"/>
        <item x="1024"/>
        <item x="1036"/>
        <item x="1799"/>
        <item x="423"/>
        <item x="1001"/>
        <item x="1041"/>
        <item x="1821"/>
        <item x="288"/>
        <item x="970"/>
        <item x="79"/>
        <item x="672"/>
        <item x="1491"/>
        <item x="1398"/>
        <item x="78"/>
        <item x="822"/>
        <item x="910"/>
        <item x="866"/>
        <item x="1754"/>
        <item x="863"/>
        <item x="1603"/>
        <item x="851"/>
        <item x="232"/>
        <item x="904"/>
        <item x="234"/>
        <item x="809"/>
        <item x="1064"/>
        <item x="1321"/>
        <item x="1493"/>
        <item x="1723"/>
        <item x="1822"/>
        <item x="1259"/>
        <item x="928"/>
        <item x="670"/>
        <item x="1251"/>
        <item x="1722"/>
        <item x="844"/>
        <item x="228"/>
        <item x="58"/>
        <item x="420"/>
        <item x="156"/>
        <item x="1781"/>
        <item x="873"/>
        <item x="859"/>
        <item x="582"/>
        <item x="1503"/>
        <item x="233"/>
        <item x="867"/>
        <item x="907"/>
        <item x="107"/>
        <item x="865"/>
        <item x="1859"/>
        <item x="934"/>
        <item x="1032"/>
        <item x="422"/>
        <item x="1724"/>
        <item x="932"/>
        <item x="849"/>
        <item x="860"/>
        <item x="648"/>
        <item x="744"/>
        <item x="779"/>
        <item x="454"/>
        <item x="1788"/>
        <item x="1056"/>
        <item x="231"/>
        <item x="1720"/>
        <item x="600"/>
        <item x="897"/>
        <item x="1261"/>
        <item x="929"/>
        <item x="100"/>
        <item x="1854"/>
        <item x="1403"/>
        <item x="908"/>
        <item x="1033"/>
        <item x="1782"/>
        <item x="56"/>
        <item x="105"/>
        <item x="931"/>
        <item x="971"/>
        <item x="18"/>
        <item x="817"/>
        <item x="1054"/>
        <item x="998"/>
        <item x="1057"/>
        <item x="1853"/>
        <item x="172"/>
        <item x="891"/>
        <item x="1787"/>
        <item x="1610"/>
        <item x="1055"/>
        <item x="259"/>
        <item x="517"/>
        <item x="997"/>
        <item x="1857"/>
        <item x="861"/>
        <item x="1253"/>
        <item x="1125"/>
        <item x="1784"/>
        <item x="1136"/>
        <item x="1721"/>
        <item x="1061"/>
        <item x="1862"/>
        <item x="289"/>
        <item x="518"/>
        <item x="277"/>
        <item x="319"/>
        <item x="1120"/>
        <item x="1839"/>
        <item x="70"/>
        <item x="1486"/>
        <item x="148"/>
        <item x="102"/>
        <item x="75"/>
        <item x="166"/>
        <item x="1227"/>
        <item x="906"/>
        <item x="856"/>
        <item x="1856"/>
        <item x="67"/>
        <item x="519"/>
        <item x="1216"/>
        <item x="864"/>
        <item x="168"/>
        <item x="1605"/>
        <item x="996"/>
        <item x="1070"/>
        <item x="151"/>
        <item x="1004"/>
        <item x="1044"/>
        <item x="1553"/>
        <item x="1265"/>
        <item x="236"/>
        <item x="514"/>
        <item x="812"/>
        <item x="223"/>
        <item x="68"/>
        <item x="1049"/>
        <item x="31"/>
        <item x="986"/>
        <item x="995"/>
        <item x="988"/>
        <item x="427"/>
        <item x="283"/>
        <item x="989"/>
        <item x="1027"/>
        <item x="548"/>
        <item x="103"/>
        <item x="226"/>
        <item x="896"/>
        <item x="19"/>
        <item x="1620"/>
        <item x="810"/>
        <item x="71"/>
        <item x="1492"/>
        <item x="1864"/>
        <item x="587"/>
        <item x="1868"/>
        <item x="526"/>
        <item x="57"/>
        <item x="1062"/>
        <item x="862"/>
        <item x="591"/>
        <item x="170"/>
        <item x="1029"/>
        <item x="169"/>
        <item x="1167"/>
        <item x="982"/>
        <item x="991"/>
        <item x="520"/>
        <item x="1173"/>
        <item x="985"/>
        <item x="1262"/>
        <item x="1140"/>
        <item x="1059"/>
        <item x="813"/>
        <item x="509"/>
        <item x="975"/>
        <item x="279"/>
        <item x="1038"/>
        <item x="1172"/>
        <item x="1825"/>
        <item x="1616"/>
        <item x="1069"/>
        <item x="1260"/>
        <item x="1556"/>
        <item x="905"/>
        <item x="205"/>
        <item x="460"/>
        <item x="892"/>
        <item x="1045"/>
        <item x="869"/>
        <item x="495"/>
        <item x="506"/>
        <item x="465"/>
        <item x="278"/>
        <item x="807"/>
        <item x="1866"/>
        <item x="977"/>
        <item x="1193"/>
        <item x="1554"/>
        <item x="153"/>
        <item x="494"/>
        <item x="1551"/>
        <item x="284"/>
        <item x="592"/>
        <item x="987"/>
        <item x="1861"/>
        <item x="491"/>
        <item x="1219"/>
        <item x="1031"/>
        <item x="493"/>
        <item x="593"/>
        <item x="66"/>
        <item x="229"/>
        <item x="1217"/>
        <item x="933"/>
        <item x="207"/>
        <item x="637"/>
        <item x="566"/>
        <item x="1005"/>
        <item x="980"/>
        <item x="1224"/>
        <item x="569"/>
        <item x="464"/>
        <item x="857"/>
        <item x="1783"/>
        <item x="1719"/>
        <item x="1255"/>
        <item x="1823"/>
        <item x="510"/>
        <item x="513"/>
        <item x="1552"/>
        <item x="511"/>
        <item x="976"/>
        <item x="1860"/>
        <item x="577"/>
        <item x="468"/>
        <item x="65"/>
        <item x="225"/>
        <item x="209"/>
        <item x="206"/>
        <item x="586"/>
        <item x="565"/>
        <item x="564"/>
        <item x="575"/>
        <item x="1718"/>
        <item x="1670"/>
        <item x="1168"/>
        <item x="1676"/>
        <item x="1534"/>
        <item x="463"/>
        <item x="496"/>
        <item x="292"/>
        <item x="466"/>
        <item x="1884"/>
        <item x="1535"/>
        <item x="1266"/>
        <item x="1595"/>
        <item x="1171"/>
        <item x="1424"/>
        <item x="1228"/>
        <item x="570"/>
        <item x="949"/>
        <item x="652"/>
        <item x="1170"/>
        <item x="1223"/>
        <item x="909"/>
        <item x="221"/>
        <item x="563"/>
        <item x="1675"/>
        <item x="870"/>
        <item x="1883"/>
        <item x="950"/>
        <item x="1673"/>
        <item x="1218"/>
        <item x="470"/>
        <item x="426"/>
        <item x="1550"/>
        <item x="1226"/>
        <item x="1878"/>
        <item x="1867"/>
        <item x="574"/>
        <item x="992"/>
        <item x="521"/>
        <item x="459"/>
        <item x="1597"/>
        <item x="1881"/>
        <item x="1539"/>
        <item x="1423"/>
        <item x="927"/>
        <item x="983"/>
        <item x="1264"/>
        <item x="1362"/>
        <item x="811"/>
        <item x="276"/>
        <item x="167"/>
        <item x="1537"/>
        <item x="1786"/>
        <item x="946"/>
        <item x="634"/>
        <item x="944"/>
        <item x="1252"/>
        <item x="1594"/>
        <item x="858"/>
        <item x="722"/>
        <item x="1855"/>
        <item x="217"/>
        <item x="724"/>
        <item x="1716"/>
        <item x="1058"/>
        <item x="572"/>
        <item x="262"/>
        <item x="214"/>
        <item x="993"/>
        <item x="1174"/>
        <item x="1674"/>
        <item x="467"/>
        <item x="210"/>
        <item x="218"/>
        <item x="1715"/>
        <item x="1593"/>
        <item x="469"/>
        <item x="1710"/>
        <item x="287"/>
        <item x="1596"/>
        <item x="224"/>
        <item x="219"/>
        <item x="1541"/>
        <item x="1712"/>
        <item x="64"/>
        <item x="1425"/>
        <item x="808"/>
        <item x="516"/>
        <item x="590"/>
        <item x="263"/>
        <item x="301"/>
        <item x="240"/>
        <item x="947"/>
        <item x="978"/>
        <item x="1422"/>
        <item x="216"/>
        <item x="1879"/>
        <item x="241"/>
        <item x="727"/>
        <item x="171"/>
        <item x="1254"/>
        <item x="261"/>
        <item x="490"/>
        <item x="1222"/>
        <item x="265"/>
        <item x="220"/>
        <item x="508"/>
        <item x="1151"/>
        <item x="227"/>
        <item x="1"/>
        <item x="1773"/>
        <item x="567"/>
        <item x="990"/>
        <item x="1429"/>
        <item x="1714"/>
        <item x="1865"/>
        <item x="1573"/>
        <item x="461"/>
        <item x="805"/>
        <item x="282"/>
        <item x="280"/>
        <item x="981"/>
        <item x="1555"/>
        <item x="512"/>
        <item x="685"/>
        <item x="588"/>
        <item x="208"/>
        <item x="267"/>
        <item x="1568"/>
        <item x="242"/>
        <item x="458"/>
        <item x="1153"/>
        <item x="1156"/>
        <item x="211"/>
        <item x="213"/>
        <item x="1567"/>
        <item x="1665"/>
        <item x="1158"/>
        <item x="255"/>
        <item x="1221"/>
        <item x="633"/>
        <item x="571"/>
        <item x="1538"/>
        <item x="1677"/>
        <item x="471"/>
        <item x="781"/>
        <item x="497"/>
        <item x="806"/>
        <item x="1668"/>
        <item x="258"/>
        <item x="1157"/>
        <item x="1882"/>
        <item x="1660"/>
        <item x="568"/>
        <item x="1572"/>
        <item x="257"/>
        <item x="238"/>
        <item x="1662"/>
        <item x="1592"/>
        <item x="534"/>
        <item x="943"/>
        <item x="1569"/>
        <item x="799"/>
        <item x="1663"/>
        <item x="1657"/>
        <item x="1428"/>
        <item x="472"/>
        <item x="254"/>
        <item x="536"/>
        <item x="777"/>
        <item x="533"/>
        <item x="413"/>
        <item x="1761"/>
        <item x="535"/>
        <item x="800"/>
        <item x="802"/>
        <item x="1661"/>
        <item x="1880"/>
        <item x="1760"/>
        <item x="1757"/>
        <item x="268"/>
        <item x="1656"/>
        <item x="1540"/>
        <item x="1759"/>
        <item x="1694"/>
        <item x="1366"/>
        <item x="530"/>
        <item x="573"/>
        <item x="1717"/>
        <item x="1420"/>
        <item x="948"/>
        <item x="1666"/>
        <item x="1699"/>
        <item x="1658"/>
        <item x="682"/>
        <item x="769"/>
        <item x="362"/>
        <item x="1671"/>
        <item x="419"/>
        <item x="782"/>
        <item x="1701"/>
        <item x="770"/>
        <item x="451"/>
        <item x="1700"/>
        <item x="1625"/>
        <item x="1696"/>
        <item x="1793"/>
        <item x="415"/>
        <item x="1764"/>
        <item x="416"/>
        <item x="1646"/>
        <item x="1750"/>
        <item x="1629"/>
        <item x="775"/>
        <item x="414"/>
        <item x="1791"/>
        <item x="1529"/>
        <item x="1647"/>
        <item x="771"/>
        <item x="1590"/>
        <item x="1755"/>
        <item x="1794"/>
        <item x="1528"/>
        <item x="1504"/>
        <item x="1623"/>
        <item x="1628"/>
        <item x="1624"/>
        <item x="1530"/>
        <item x="453"/>
        <item x="264"/>
        <item x="776"/>
        <item x="767"/>
        <item x="1795"/>
        <item x="1796"/>
        <item x="456"/>
        <item x="1509"/>
        <item x="750"/>
        <item x="457"/>
        <item x="1803"/>
        <item x="1570"/>
        <item x="1749"/>
        <item x="1533"/>
        <item x="1711"/>
        <item x="1650"/>
        <item x="1800"/>
        <item x="1526"/>
        <item x="778"/>
        <item x="239"/>
        <item x="440"/>
        <item x="1653"/>
        <item x="1756"/>
        <item x="35"/>
        <item x="684"/>
        <item x="1753"/>
        <item x="1798"/>
        <item x="1648"/>
        <item x="1361"/>
        <item x="726"/>
        <item x="780"/>
        <item x="774"/>
        <item x="1329"/>
        <item x="772"/>
        <item x="1505"/>
        <item x="801"/>
        <item x="1502"/>
        <item x="1654"/>
        <item x="1802"/>
        <item x="1508"/>
        <item x="1838"/>
        <item x="1206"/>
        <item x="452"/>
        <item x="1664"/>
        <item x="725"/>
        <item x="532"/>
        <item x="713"/>
        <item x="686"/>
        <item x="1571"/>
        <item x="1801"/>
        <item x="1203"/>
        <item x="1155"/>
        <item x="1204"/>
        <item x="1427"/>
        <item x="1200"/>
        <item x="1844"/>
        <item x="1842"/>
        <item x="1154"/>
        <item x="38"/>
        <item x="418"/>
        <item x="1606"/>
        <item x="1763"/>
        <item x="1613"/>
        <item x="803"/>
        <item x="1669"/>
        <item x="439"/>
        <item x="1837"/>
        <item x="1607"/>
        <item x="690"/>
        <item x="1655"/>
        <item x="237"/>
        <item x="1611"/>
        <item x="531"/>
        <item x="256"/>
        <item x="1609"/>
        <item x="1408"/>
        <item x="689"/>
        <item x="1532"/>
        <item x="687"/>
        <item x="1840"/>
        <item x="1797"/>
        <item x="1789"/>
        <item x="1627"/>
        <item x="1762"/>
        <item x="768"/>
        <item x="244"/>
        <item x="715"/>
        <item x="1695"/>
        <item x="1649"/>
        <item x="86"/>
        <item x="1314"/>
        <item x="1698"/>
        <item x="1311"/>
        <item x="386"/>
        <item x="1506"/>
        <item x="701"/>
        <item x="260"/>
        <item x="1752"/>
        <item x="723"/>
        <item x="455"/>
        <item x="691"/>
        <item x="293"/>
        <item x="610"/>
        <item x="380"/>
        <item x="1622"/>
        <item x="274"/>
        <item x="384"/>
        <item x="1751"/>
        <item x="383"/>
        <item x="1507"/>
        <item x="385"/>
        <item x="1531"/>
        <item x="412"/>
        <item x="450"/>
        <item x="1804"/>
        <item x="298"/>
        <item x="1652"/>
        <item x="28"/>
        <item x="714"/>
        <item x="30"/>
        <item x="1367"/>
        <item x="1371"/>
        <item x="1328"/>
        <item x="622"/>
        <item x="1372"/>
        <item x="299"/>
        <item x="721"/>
        <item x="1843"/>
        <item x="728"/>
        <item x="1256"/>
        <item x="712"/>
        <item x="1792"/>
        <item x="1191"/>
        <item x="119"/>
        <item x="387"/>
        <item x="1608"/>
        <item x="611"/>
        <item x="1369"/>
        <item x="1198"/>
        <item x="120"/>
        <item x="122"/>
        <item x="1780"/>
        <item x="7"/>
        <item x="1195"/>
        <item x="3"/>
        <item x="295"/>
        <item x="1841"/>
        <item x="5"/>
        <item x="1196"/>
        <item x="24"/>
        <item x="1779"/>
        <item x="1199"/>
        <item x="1370"/>
        <item x="1310"/>
        <item x="1776"/>
        <item x="1373"/>
        <item x="123"/>
        <item x="1775"/>
        <item x="124"/>
        <item x="1612"/>
        <item x="1312"/>
        <item x="2"/>
        <item x="1777"/>
        <item x="1315"/>
        <item x="361"/>
        <item x="1368"/>
        <item x="614"/>
        <item x="382"/>
        <item x="360"/>
        <item x="1309"/>
        <item x="1308"/>
        <item x="667"/>
        <item x="297"/>
        <item x="710"/>
        <item x="275"/>
        <item x="29"/>
        <item x="4"/>
        <item x="356"/>
        <item x="300"/>
        <item x="33"/>
        <item x="612"/>
        <item x="1201"/>
        <item x="613"/>
        <item x="85"/>
        <item x="434"/>
        <item x="118"/>
        <item x="623"/>
        <item x="711"/>
        <item x="37"/>
        <item x="0"/>
        <item x="615"/>
        <item x="1416"/>
        <item x="1415"/>
        <item x="1421"/>
        <item x="1205"/>
        <item x="6"/>
        <item x="1774"/>
        <item x="363"/>
        <item x="1313"/>
        <item x="36"/>
        <item x="624"/>
        <item x="1419"/>
        <item x="1414"/>
        <item x="1194"/>
        <item x="304"/>
        <item x="1778"/>
        <item x="181"/>
        <item x="294"/>
        <item x="621"/>
        <item x="359"/>
        <item x="739"/>
        <item x="1192"/>
        <item x="436"/>
        <item x="437"/>
        <item x="616"/>
        <item x="26"/>
        <item x="1238"/>
        <item x="709"/>
        <item x="25"/>
        <item x="1197"/>
        <item x="1417"/>
        <item x="1410"/>
        <item x="121"/>
        <item x="307"/>
        <item x="1418"/>
        <item x="1406"/>
        <item x="34"/>
        <item x="435"/>
        <item x="27"/>
        <item x="1409"/>
        <item x="619"/>
        <item x="1411"/>
        <item x="270"/>
        <item x="308"/>
        <item x="302"/>
        <item x="357"/>
        <item x="89"/>
        <item x="1407"/>
        <item x="303"/>
        <item x="618"/>
        <item x="1292"/>
        <item x="1413"/>
        <item x="1412"/>
        <item x="1340"/>
        <item x="441"/>
        <item x="272"/>
        <item x="305"/>
        <item x="192"/>
        <item x="271"/>
        <item x="438"/>
        <item x="306"/>
        <item x="273"/>
        <item x="620"/>
        <item x="658"/>
        <item x="626"/>
        <item x="631"/>
        <item x="628"/>
        <item x="174"/>
        <item x="176"/>
        <item x="629"/>
        <item x="625"/>
        <item x="627"/>
        <item x="186"/>
        <item x="178"/>
        <item x="180"/>
        <item x="187"/>
        <item x="188"/>
        <item x="730"/>
        <item x="1237"/>
        <item x="185"/>
        <item x="617"/>
        <item x="1239"/>
        <item x="733"/>
        <item x="173"/>
        <item x="1244"/>
        <item x="183"/>
        <item x="1242"/>
        <item x="647"/>
        <item x="1243"/>
        <item x="93"/>
        <item x="179"/>
        <item x="92"/>
        <item x="630"/>
        <item x="90"/>
        <item x="175"/>
        <item x="184"/>
        <item x="182"/>
        <item x="1291"/>
        <item x="1186"/>
        <item x="1241"/>
        <item x="194"/>
        <item x="189"/>
        <item x="191"/>
        <item x="196"/>
        <item x="195"/>
        <item x="645"/>
        <item x="1240"/>
        <item x="735"/>
        <item x="729"/>
        <item x="91"/>
        <item x="731"/>
        <item x="734"/>
        <item x="193"/>
        <item x="732"/>
        <item x="736"/>
        <item x="190"/>
        <item x="95"/>
        <item x="1287"/>
        <item x="88"/>
        <item x="1189"/>
        <item x="1187"/>
        <item x="1184"/>
        <item x="1185"/>
        <item x="1190"/>
        <item x="1188"/>
        <item x="1288"/>
        <item x="1183"/>
        <item x="642"/>
        <item x="641"/>
        <item x="640"/>
        <item x="1285"/>
        <item x="646"/>
        <item x="644"/>
        <item x="643"/>
        <item x="1281"/>
        <item x="1283"/>
        <item x="1286"/>
        <item x="1333"/>
        <item x="1332"/>
        <item x="1336"/>
        <item x="695"/>
        <item x="1331"/>
        <item x="1282"/>
        <item x="1335"/>
        <item x="1330"/>
        <item x="1337"/>
        <item x="1334"/>
        <item x="1284"/>
        <item x="1234"/>
        <item x="696"/>
        <item x="698"/>
        <item x="697"/>
        <item x="1231"/>
        <item x="699"/>
        <item x="1229"/>
        <item x="1230"/>
        <item x="694"/>
        <item x="692"/>
        <item x="693"/>
        <item x="1236"/>
        <item x="1235"/>
        <item x="1233"/>
        <item x="1232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7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ontagem de Órgão Superior" fld="1" subtotal="count" baseField="0" baseItem="0"/>
  </dataFields>
  <formats count="2">
    <format dxfId="2">
      <pivotArea outline="0" collapsedLevelsAreSubtotals="1" fieldPosition="0"/>
    </format>
    <format dxfId="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2266C3-D553-45AF-B8E0-AE5964FB5F9E}" name="Tabela dinâmica5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5">
  <location ref="A332:B341" firstHeaderRow="1" firstDataRow="1" firstDataCol="1"/>
  <pivotFields count="8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35">
        <item x="18"/>
        <item x="19"/>
        <item x="1"/>
        <item x="13"/>
        <item x="11"/>
        <item x="12"/>
        <item x="29"/>
        <item x="10"/>
        <item x="3"/>
        <item x="25"/>
        <item x="20"/>
        <item x="4"/>
        <item x="17"/>
        <item x="5"/>
        <item x="23"/>
        <item x="8"/>
        <item x="7"/>
        <item x="6"/>
        <item x="21"/>
        <item x="22"/>
        <item x="16"/>
        <item x="33"/>
        <item x="9"/>
        <item x="15"/>
        <item x="26"/>
        <item x="27"/>
        <item x="14"/>
        <item x="31"/>
        <item x="0"/>
        <item x="32"/>
        <item x="30"/>
        <item x="2"/>
        <item x="28"/>
        <item x="24"/>
        <item t="default"/>
      </items>
    </pivotField>
    <pivotField showAll="0">
      <items count="253">
        <item x="193"/>
        <item x="90"/>
        <item x="47"/>
        <item x="10"/>
        <item x="26"/>
        <item x="190"/>
        <item x="1"/>
        <item x="44"/>
        <item x="43"/>
        <item x="46"/>
        <item x="117"/>
        <item x="51"/>
        <item x="36"/>
        <item x="32"/>
        <item x="41"/>
        <item x="195"/>
        <item x="113"/>
        <item x="99"/>
        <item x="162"/>
        <item x="157"/>
        <item x="37"/>
        <item x="28"/>
        <item x="35"/>
        <item x="30"/>
        <item x="84"/>
        <item x="163"/>
        <item x="160"/>
        <item x="20"/>
        <item x="201"/>
        <item x="100"/>
        <item x="167"/>
        <item x="15"/>
        <item x="25"/>
        <item x="48"/>
        <item x="197"/>
        <item x="83"/>
        <item x="88"/>
        <item x="89"/>
        <item x="80"/>
        <item x="166"/>
        <item x="21"/>
        <item x="76"/>
        <item x="207"/>
        <item x="203"/>
        <item x="227"/>
        <item x="229"/>
        <item x="211"/>
        <item x="245"/>
        <item x="214"/>
        <item x="216"/>
        <item x="235"/>
        <item x="206"/>
        <item x="234"/>
        <item x="218"/>
        <item x="239"/>
        <item x="240"/>
        <item x="237"/>
        <item x="221"/>
        <item x="222"/>
        <item x="247"/>
        <item x="248"/>
        <item x="220"/>
        <item x="75"/>
        <item x="209"/>
        <item x="246"/>
        <item x="243"/>
        <item x="244"/>
        <item x="18"/>
        <item x="19"/>
        <item x="250"/>
        <item x="208"/>
        <item x="212"/>
        <item x="223"/>
        <item x="215"/>
        <item x="249"/>
        <item x="73"/>
        <item x="205"/>
        <item x="63"/>
        <item x="230"/>
        <item x="58"/>
        <item x="57"/>
        <item x="59"/>
        <item x="238"/>
        <item x="67"/>
        <item x="69"/>
        <item x="71"/>
        <item x="217"/>
        <item x="62"/>
        <item x="74"/>
        <item x="65"/>
        <item x="64"/>
        <item x="224"/>
        <item x="72"/>
        <item x="61"/>
        <item x="66"/>
        <item x="70"/>
        <item x="158"/>
        <item x="45"/>
        <item x="49"/>
        <item x="109"/>
        <item x="101"/>
        <item x="60"/>
        <item x="236"/>
        <item x="68"/>
        <item x="122"/>
        <item x="134"/>
        <item x="118"/>
        <item x="135"/>
        <item x="136"/>
        <item x="154"/>
        <item x="137"/>
        <item x="125"/>
        <item x="140"/>
        <item x="148"/>
        <item x="149"/>
        <item x="151"/>
        <item x="138"/>
        <item x="139"/>
        <item x="142"/>
        <item x="121"/>
        <item x="126"/>
        <item x="146"/>
        <item x="152"/>
        <item x="127"/>
        <item x="119"/>
        <item x="130"/>
        <item x="150"/>
        <item x="132"/>
        <item x="133"/>
        <item x="120"/>
        <item x="123"/>
        <item x="124"/>
        <item x="147"/>
        <item x="143"/>
        <item x="141"/>
        <item x="144"/>
        <item x="153"/>
        <item x="145"/>
        <item x="155"/>
        <item x="128"/>
        <item x="129"/>
        <item x="131"/>
        <item x="204"/>
        <item x="233"/>
        <item x="202"/>
        <item x="38"/>
        <item x="232"/>
        <item x="242"/>
        <item x="226"/>
        <item x="241"/>
        <item x="210"/>
        <item x="213"/>
        <item x="219"/>
        <item x="228"/>
        <item x="225"/>
        <item x="231"/>
        <item x="182"/>
        <item x="40"/>
        <item x="29"/>
        <item x="251"/>
        <item x="27"/>
        <item x="171"/>
        <item x="191"/>
        <item x="53"/>
        <item x="159"/>
        <item x="156"/>
        <item x="54"/>
        <item x="31"/>
        <item x="14"/>
        <item x="192"/>
        <item x="85"/>
        <item x="107"/>
        <item x="103"/>
        <item x="95"/>
        <item x="105"/>
        <item x="16"/>
        <item x="179"/>
        <item x="11"/>
        <item x="3"/>
        <item x="39"/>
        <item x="4"/>
        <item x="173"/>
        <item x="200"/>
        <item x="98"/>
        <item x="178"/>
        <item x="42"/>
        <item x="174"/>
        <item x="55"/>
        <item x="110"/>
        <item x="52"/>
        <item x="8"/>
        <item x="5"/>
        <item x="33"/>
        <item x="50"/>
        <item x="161"/>
        <item x="93"/>
        <item x="82"/>
        <item x="189"/>
        <item x="7"/>
        <item x="34"/>
        <item x="186"/>
        <item x="176"/>
        <item x="12"/>
        <item x="106"/>
        <item x="164"/>
        <item x="112"/>
        <item x="184"/>
        <item x="104"/>
        <item x="9"/>
        <item x="116"/>
        <item x="114"/>
        <item x="194"/>
        <item x="168"/>
        <item x="185"/>
        <item x="180"/>
        <item x="91"/>
        <item x="81"/>
        <item x="183"/>
        <item x="165"/>
        <item x="22"/>
        <item x="24"/>
        <item x="23"/>
        <item x="17"/>
        <item x="111"/>
        <item x="56"/>
        <item x="13"/>
        <item x="92"/>
        <item x="170"/>
        <item x="198"/>
        <item x="199"/>
        <item x="196"/>
        <item x="79"/>
        <item x="77"/>
        <item x="78"/>
        <item x="187"/>
        <item x="94"/>
        <item x="181"/>
        <item x="96"/>
        <item x="175"/>
        <item x="102"/>
        <item x="172"/>
        <item x="108"/>
        <item x="115"/>
        <item x="2"/>
        <item x="97"/>
        <item x="0"/>
        <item x="177"/>
        <item x="169"/>
        <item x="6"/>
        <item x="87"/>
        <item x="86"/>
        <item x="188"/>
        <item t="default"/>
      </items>
    </pivotField>
    <pivotField showAll="0"/>
    <pivotField dataField="1"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7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oma de Valor Liquidado" fld="4" baseField="0" baseItem="0"/>
  </dataFields>
  <formats count="1">
    <format dxfId="3">
      <pivotArea outline="0" collapsedLevelsAreSubtotals="1" fieldPosition="0"/>
    </format>
  </formats>
  <chartFormats count="1"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E37CA7-164E-44D1-A774-1A10D9F0C6F6}" name="Tabela dinâmica4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">
  <location ref="A318:B327" firstHeaderRow="1" firstDataRow="1" firstDataCol="1"/>
  <pivotFields count="8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35">
        <item x="18"/>
        <item x="19"/>
        <item x="1"/>
        <item x="13"/>
        <item x="11"/>
        <item x="12"/>
        <item x="29"/>
        <item x="10"/>
        <item x="3"/>
        <item x="25"/>
        <item x="20"/>
        <item x="4"/>
        <item x="17"/>
        <item x="5"/>
        <item x="23"/>
        <item x="8"/>
        <item x="7"/>
        <item x="6"/>
        <item x="21"/>
        <item x="22"/>
        <item x="16"/>
        <item x="33"/>
        <item x="9"/>
        <item x="15"/>
        <item x="26"/>
        <item x="27"/>
        <item x="14"/>
        <item x="31"/>
        <item x="0"/>
        <item x="32"/>
        <item x="30"/>
        <item x="2"/>
        <item x="28"/>
        <item x="24"/>
        <item t="default"/>
      </items>
    </pivotField>
    <pivotField showAll="0">
      <items count="253">
        <item x="193"/>
        <item x="90"/>
        <item x="47"/>
        <item x="10"/>
        <item x="26"/>
        <item x="190"/>
        <item x="1"/>
        <item x="44"/>
        <item x="43"/>
        <item x="46"/>
        <item x="117"/>
        <item x="51"/>
        <item x="36"/>
        <item x="32"/>
        <item x="41"/>
        <item x="195"/>
        <item x="113"/>
        <item x="99"/>
        <item x="162"/>
        <item x="157"/>
        <item x="37"/>
        <item x="28"/>
        <item x="35"/>
        <item x="30"/>
        <item x="84"/>
        <item x="163"/>
        <item x="160"/>
        <item x="20"/>
        <item x="201"/>
        <item x="100"/>
        <item x="167"/>
        <item x="15"/>
        <item x="25"/>
        <item x="48"/>
        <item x="197"/>
        <item x="83"/>
        <item x="88"/>
        <item x="89"/>
        <item x="80"/>
        <item x="166"/>
        <item x="21"/>
        <item x="76"/>
        <item x="207"/>
        <item x="203"/>
        <item x="227"/>
        <item x="229"/>
        <item x="211"/>
        <item x="245"/>
        <item x="214"/>
        <item x="216"/>
        <item x="235"/>
        <item x="206"/>
        <item x="234"/>
        <item x="218"/>
        <item x="239"/>
        <item x="240"/>
        <item x="237"/>
        <item x="221"/>
        <item x="222"/>
        <item x="247"/>
        <item x="248"/>
        <item x="220"/>
        <item x="75"/>
        <item x="209"/>
        <item x="246"/>
        <item x="243"/>
        <item x="244"/>
        <item x="18"/>
        <item x="19"/>
        <item x="250"/>
        <item x="208"/>
        <item x="212"/>
        <item x="223"/>
        <item x="215"/>
        <item x="249"/>
        <item x="73"/>
        <item x="205"/>
        <item x="63"/>
        <item x="230"/>
        <item x="58"/>
        <item x="57"/>
        <item x="59"/>
        <item x="238"/>
        <item x="67"/>
        <item x="69"/>
        <item x="71"/>
        <item x="217"/>
        <item x="62"/>
        <item x="74"/>
        <item x="65"/>
        <item x="64"/>
        <item x="224"/>
        <item x="72"/>
        <item x="61"/>
        <item x="66"/>
        <item x="70"/>
        <item x="158"/>
        <item x="45"/>
        <item x="49"/>
        <item x="109"/>
        <item x="101"/>
        <item x="60"/>
        <item x="236"/>
        <item x="68"/>
        <item x="122"/>
        <item x="134"/>
        <item x="118"/>
        <item x="135"/>
        <item x="136"/>
        <item x="154"/>
        <item x="137"/>
        <item x="125"/>
        <item x="140"/>
        <item x="148"/>
        <item x="149"/>
        <item x="151"/>
        <item x="138"/>
        <item x="139"/>
        <item x="142"/>
        <item x="121"/>
        <item x="126"/>
        <item x="146"/>
        <item x="152"/>
        <item x="127"/>
        <item x="119"/>
        <item x="130"/>
        <item x="150"/>
        <item x="132"/>
        <item x="133"/>
        <item x="120"/>
        <item x="123"/>
        <item x="124"/>
        <item x="147"/>
        <item x="143"/>
        <item x="141"/>
        <item x="144"/>
        <item x="153"/>
        <item x="145"/>
        <item x="155"/>
        <item x="128"/>
        <item x="129"/>
        <item x="131"/>
        <item x="204"/>
        <item x="233"/>
        <item x="202"/>
        <item x="38"/>
        <item x="232"/>
        <item x="242"/>
        <item x="226"/>
        <item x="241"/>
        <item x="210"/>
        <item x="213"/>
        <item x="219"/>
        <item x="228"/>
        <item x="225"/>
        <item x="231"/>
        <item x="182"/>
        <item x="40"/>
        <item x="29"/>
        <item x="251"/>
        <item x="27"/>
        <item x="171"/>
        <item x="191"/>
        <item x="53"/>
        <item x="159"/>
        <item x="156"/>
        <item x="54"/>
        <item x="31"/>
        <item x="14"/>
        <item x="192"/>
        <item x="85"/>
        <item x="107"/>
        <item x="103"/>
        <item x="95"/>
        <item x="105"/>
        <item x="16"/>
        <item x="179"/>
        <item x="11"/>
        <item x="3"/>
        <item x="39"/>
        <item x="4"/>
        <item x="173"/>
        <item x="200"/>
        <item x="98"/>
        <item x="178"/>
        <item x="42"/>
        <item x="174"/>
        <item x="55"/>
        <item x="110"/>
        <item x="52"/>
        <item x="8"/>
        <item x="5"/>
        <item x="33"/>
        <item x="50"/>
        <item x="161"/>
        <item x="93"/>
        <item x="82"/>
        <item x="189"/>
        <item x="7"/>
        <item x="34"/>
        <item x="186"/>
        <item x="176"/>
        <item x="12"/>
        <item x="106"/>
        <item x="164"/>
        <item x="112"/>
        <item x="184"/>
        <item x="104"/>
        <item x="9"/>
        <item x="116"/>
        <item x="114"/>
        <item x="194"/>
        <item x="168"/>
        <item x="185"/>
        <item x="180"/>
        <item x="91"/>
        <item x="81"/>
        <item x="183"/>
        <item x="165"/>
        <item x="22"/>
        <item x="24"/>
        <item x="23"/>
        <item x="17"/>
        <item x="111"/>
        <item x="56"/>
        <item x="13"/>
        <item x="92"/>
        <item x="170"/>
        <item x="198"/>
        <item x="199"/>
        <item x="196"/>
        <item x="79"/>
        <item x="77"/>
        <item x="78"/>
        <item x="187"/>
        <item x="94"/>
        <item x="181"/>
        <item x="96"/>
        <item x="175"/>
        <item x="102"/>
        <item x="172"/>
        <item x="108"/>
        <item x="115"/>
        <item x="2"/>
        <item x="97"/>
        <item x="0"/>
        <item x="177"/>
        <item x="169"/>
        <item x="6"/>
        <item x="87"/>
        <item x="86"/>
        <item x="188"/>
        <item t="default"/>
      </items>
    </pivotField>
    <pivotField dataField="1"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7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oma de Valor Empenhado" fld="3" baseField="0" baseItem="0"/>
  </dataFields>
  <formats count="2">
    <format dxfId="4">
      <pivotArea outline="0" collapsedLevelsAreSubtotals="1" fieldPosition="0"/>
    </format>
    <format dxfId="5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1"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0A8008-297C-4B99-9D96-6CE865E32FC7}" name="Tabela dinâmica3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59:B312" firstHeaderRow="1" firstDataRow="1" firstDataCol="1"/>
  <pivotFields count="8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253">
        <item x="193"/>
        <item x="90"/>
        <item x="47"/>
        <item x="10"/>
        <item x="26"/>
        <item x="190"/>
        <item x="1"/>
        <item x="44"/>
        <item x="43"/>
        <item x="46"/>
        <item x="117"/>
        <item x="51"/>
        <item x="36"/>
        <item x="32"/>
        <item x="41"/>
        <item x="195"/>
        <item x="113"/>
        <item x="99"/>
        <item x="162"/>
        <item x="157"/>
        <item x="37"/>
        <item x="28"/>
        <item x="35"/>
        <item x="30"/>
        <item x="84"/>
        <item x="163"/>
        <item x="160"/>
        <item x="20"/>
        <item x="201"/>
        <item x="100"/>
        <item x="167"/>
        <item x="15"/>
        <item x="25"/>
        <item x="48"/>
        <item x="197"/>
        <item x="83"/>
        <item x="88"/>
        <item x="89"/>
        <item x="80"/>
        <item x="166"/>
        <item x="21"/>
        <item x="76"/>
        <item x="207"/>
        <item x="203"/>
        <item x="227"/>
        <item x="229"/>
        <item x="211"/>
        <item x="245"/>
        <item x="214"/>
        <item x="216"/>
        <item x="235"/>
        <item x="206"/>
        <item x="234"/>
        <item x="218"/>
        <item x="239"/>
        <item x="240"/>
        <item x="237"/>
        <item x="221"/>
        <item x="222"/>
        <item x="247"/>
        <item x="248"/>
        <item x="220"/>
        <item x="75"/>
        <item x="209"/>
        <item x="246"/>
        <item x="243"/>
        <item x="244"/>
        <item x="18"/>
        <item x="19"/>
        <item x="250"/>
        <item x="208"/>
        <item x="212"/>
        <item x="223"/>
        <item x="215"/>
        <item x="249"/>
        <item x="73"/>
        <item x="205"/>
        <item x="63"/>
        <item x="230"/>
        <item x="58"/>
        <item x="57"/>
        <item x="59"/>
        <item x="238"/>
        <item x="67"/>
        <item x="69"/>
        <item x="71"/>
        <item x="217"/>
        <item x="62"/>
        <item x="74"/>
        <item x="65"/>
        <item x="64"/>
        <item x="224"/>
        <item x="72"/>
        <item x="61"/>
        <item x="66"/>
        <item x="70"/>
        <item x="158"/>
        <item x="45"/>
        <item x="49"/>
        <item x="109"/>
        <item x="101"/>
        <item x="60"/>
        <item x="236"/>
        <item x="68"/>
        <item x="122"/>
        <item x="134"/>
        <item x="118"/>
        <item x="135"/>
        <item x="136"/>
        <item x="154"/>
        <item x="137"/>
        <item x="125"/>
        <item x="140"/>
        <item x="148"/>
        <item x="149"/>
        <item x="151"/>
        <item x="138"/>
        <item x="139"/>
        <item x="142"/>
        <item x="121"/>
        <item x="126"/>
        <item x="146"/>
        <item x="152"/>
        <item x="127"/>
        <item x="119"/>
        <item x="130"/>
        <item x="150"/>
        <item x="132"/>
        <item x="133"/>
        <item x="120"/>
        <item x="123"/>
        <item x="124"/>
        <item x="147"/>
        <item x="143"/>
        <item x="141"/>
        <item x="144"/>
        <item x="153"/>
        <item x="145"/>
        <item x="155"/>
        <item x="128"/>
        <item x="129"/>
        <item x="131"/>
        <item x="204"/>
        <item x="233"/>
        <item x="202"/>
        <item x="38"/>
        <item x="232"/>
        <item x="242"/>
        <item x="226"/>
        <item x="241"/>
        <item x="210"/>
        <item x="213"/>
        <item x="219"/>
        <item x="228"/>
        <item x="225"/>
        <item x="231"/>
        <item x="182"/>
        <item x="40"/>
        <item x="29"/>
        <item x="251"/>
        <item x="27"/>
        <item x="171"/>
        <item x="191"/>
        <item x="53"/>
        <item x="159"/>
        <item x="156"/>
        <item x="54"/>
        <item x="31"/>
        <item x="14"/>
        <item x="192"/>
        <item x="85"/>
        <item x="107"/>
        <item x="103"/>
        <item x="95"/>
        <item x="105"/>
        <item x="16"/>
        <item x="179"/>
        <item x="11"/>
        <item x="3"/>
        <item x="39"/>
        <item x="4"/>
        <item x="173"/>
        <item x="200"/>
        <item x="98"/>
        <item x="178"/>
        <item x="42"/>
        <item x="174"/>
        <item x="55"/>
        <item x="110"/>
        <item x="52"/>
        <item x="8"/>
        <item x="5"/>
        <item x="33"/>
        <item x="50"/>
        <item x="161"/>
        <item x="93"/>
        <item x="82"/>
        <item x="189"/>
        <item x="7"/>
        <item x="34"/>
        <item x="186"/>
        <item x="176"/>
        <item x="12"/>
        <item x="106"/>
        <item x="164"/>
        <item x="112"/>
        <item x="184"/>
        <item x="104"/>
        <item x="9"/>
        <item x="116"/>
        <item x="114"/>
        <item x="194"/>
        <item x="168"/>
        <item x="185"/>
        <item x="180"/>
        <item x="91"/>
        <item x="81"/>
        <item x="183"/>
        <item x="165"/>
        <item x="22"/>
        <item x="24"/>
        <item x="23"/>
        <item x="17"/>
        <item x="111"/>
        <item x="56"/>
        <item x="13"/>
        <item x="92"/>
        <item x="170"/>
        <item x="198"/>
        <item x="199"/>
        <item x="196"/>
        <item x="79"/>
        <item x="77"/>
        <item x="78"/>
        <item x="187"/>
        <item x="94"/>
        <item x="181"/>
        <item x="96"/>
        <item x="175"/>
        <item x="102"/>
        <item x="172"/>
        <item x="108"/>
        <item x="115"/>
        <item x="2"/>
        <item x="97"/>
        <item x="0"/>
        <item x="177"/>
        <item x="169"/>
        <item x="6"/>
        <item x="87"/>
        <item x="86"/>
        <item x="188"/>
        <item t="default"/>
      </items>
    </pivotField>
    <pivotField showAll="0"/>
    <pivotField dataField="1"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2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dataFields count="1">
    <dataField name="Soma de Valor Liquidado" fld="4" baseField="0" baseItem="0"/>
  </dataFields>
  <formats count="1"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AD7B4D-5B0B-437D-9018-204C51E5274E}" name="Tabela dinâmica2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19:B54" firstHeaderRow="1" firstDataRow="1" firstDataCol="1"/>
  <pivotFields count="8">
    <pivotField numFmtId="17" showAll="0">
      <items count="36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4"/>
        <item h="1" x="365"/>
        <item h="1" x="366"/>
        <item h="1" x="367"/>
        <item t="default"/>
      </items>
    </pivotField>
    <pivotField axis="axisRow" showAll="0">
      <items count="35">
        <item x="18"/>
        <item x="19"/>
        <item x="1"/>
        <item x="13"/>
        <item x="11"/>
        <item x="12"/>
        <item x="29"/>
        <item x="10"/>
        <item x="3"/>
        <item x="25"/>
        <item x="20"/>
        <item x="4"/>
        <item x="17"/>
        <item x="5"/>
        <item x="23"/>
        <item x="8"/>
        <item x="7"/>
        <item x="6"/>
        <item x="21"/>
        <item x="22"/>
        <item x="16"/>
        <item x="33"/>
        <item x="9"/>
        <item x="15"/>
        <item x="26"/>
        <item x="27"/>
        <item x="14"/>
        <item x="31"/>
        <item x="0"/>
        <item x="32"/>
        <item x="30"/>
        <item x="2"/>
        <item x="28"/>
        <item x="24"/>
        <item t="default"/>
      </items>
    </pivotField>
    <pivotField showAll="0"/>
    <pivotField dataField="1"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"/>
  </rowFields>
  <row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Items count="1">
    <i/>
  </colItems>
  <dataFields count="1">
    <dataField name="Soma de Valor Empenhado" fld="3" baseField="0" baseItem="0"/>
  </dataFields>
  <formats count="1">
    <format dxfId="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5BC1BA-03F5-485F-9A52-BEEB3F0B5EFA}" name="Tabela dinâmica1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D12" firstHeaderRow="0" firstDataRow="1" firstDataCol="1"/>
  <pivotFields count="8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dataField="1" showAll="0"/>
    <pivotField dataField="1" showAll="0"/>
    <pivotField dataField="1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7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Valor Empenhado" fld="3" baseField="0" baseItem="0"/>
    <dataField name="Soma de Valor Liquidado" fld="4" baseField="0" baseItem="0"/>
    <dataField name="Soma de Valor Pago" fld="5" baseField="0" baseItem="0"/>
  </dataFields>
  <formats count="2">
    <format dxfId="9">
      <pivotArea outline="0" collapsedLevelsAreSubtotals="1" fieldPosition="0"/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Ano" xr10:uid="{99121EB3-BEC0-4F46-842A-2486A98D9A0C}" sourceName="Mês Ano">
  <pivotTables>
    <pivotTable tabId="3" name="Tabela dinâmica2"/>
  </pivotTables>
  <data>
    <tabular pivotCacheId="1025199240">
      <items count="368">
        <i x="92"/>
        <i x="214"/>
        <i x="32"/>
        <i x="1"/>
        <i x="183"/>
        <i x="153" s="1"/>
        <i x="122"/>
        <i x="61"/>
        <i x="0" nd="1"/>
        <i x="367" nd="1"/>
        <i x="336" nd="1"/>
        <i x="306" nd="1"/>
        <i x="275" nd="1"/>
        <i x="245" nd="1"/>
        <i x="93" nd="1"/>
        <i x="215" nd="1"/>
        <i x="337" nd="1"/>
        <i x="33" nd="1"/>
        <i x="2" nd="1"/>
        <i x="184" nd="1"/>
        <i x="154" nd="1"/>
        <i x="123" nd="1"/>
        <i x="62" nd="1"/>
        <i x="307" nd="1"/>
        <i x="276" nd="1"/>
        <i x="246" nd="1"/>
        <i x="94" nd="1"/>
        <i x="216" nd="1"/>
        <i x="338" nd="1"/>
        <i x="34" nd="1"/>
        <i x="3" nd="1"/>
        <i x="185" nd="1"/>
        <i x="155" nd="1"/>
        <i x="124" nd="1"/>
        <i x="63" nd="1"/>
        <i x="308" nd="1"/>
        <i x="277" nd="1"/>
        <i x="247" nd="1"/>
        <i x="95" nd="1"/>
        <i x="217" nd="1"/>
        <i x="339" nd="1"/>
        <i x="35" nd="1"/>
        <i x="4" nd="1"/>
        <i x="186" nd="1"/>
        <i x="156" nd="1"/>
        <i x="125" nd="1"/>
        <i x="64" nd="1"/>
        <i x="309" nd="1"/>
        <i x="278" nd="1"/>
        <i x="248" nd="1"/>
        <i x="96" nd="1"/>
        <i x="218" nd="1"/>
        <i x="340" nd="1"/>
        <i x="36" nd="1"/>
        <i x="5" nd="1"/>
        <i x="187" nd="1"/>
        <i x="157" nd="1"/>
        <i x="126" nd="1"/>
        <i x="65" nd="1"/>
        <i x="310" nd="1"/>
        <i x="279" nd="1"/>
        <i x="249" nd="1"/>
        <i x="97" nd="1"/>
        <i x="219" nd="1"/>
        <i x="341" nd="1"/>
        <i x="37" nd="1"/>
        <i x="6" nd="1"/>
        <i x="188" nd="1"/>
        <i x="158" nd="1"/>
        <i x="127" nd="1"/>
        <i x="66" nd="1"/>
        <i x="311" nd="1"/>
        <i x="280" nd="1"/>
        <i x="250" nd="1"/>
        <i x="98" nd="1"/>
        <i x="220" nd="1"/>
        <i x="342" nd="1"/>
        <i x="38" nd="1"/>
        <i x="7" nd="1"/>
        <i x="189" nd="1"/>
        <i x="159" nd="1"/>
        <i x="128" nd="1"/>
        <i x="67" nd="1"/>
        <i x="312" nd="1"/>
        <i x="281" nd="1"/>
        <i x="251" nd="1"/>
        <i x="99" nd="1"/>
        <i x="221" nd="1"/>
        <i x="343" nd="1"/>
        <i x="39" nd="1"/>
        <i x="8" nd="1"/>
        <i x="190" nd="1"/>
        <i x="160" nd="1"/>
        <i x="129" nd="1"/>
        <i x="68" nd="1"/>
        <i x="313" nd="1"/>
        <i x="282" nd="1"/>
        <i x="252" nd="1"/>
        <i x="100" nd="1"/>
        <i x="222" nd="1"/>
        <i x="344" nd="1"/>
        <i x="40" nd="1"/>
        <i x="9" nd="1"/>
        <i x="191" nd="1"/>
        <i x="161" nd="1"/>
        <i x="130" nd="1"/>
        <i x="69" nd="1"/>
        <i x="314" nd="1"/>
        <i x="283" nd="1"/>
        <i x="253" nd="1"/>
        <i x="101" nd="1"/>
        <i x="223" nd="1"/>
        <i x="345" nd="1"/>
        <i x="41" nd="1"/>
        <i x="10" nd="1"/>
        <i x="192" nd="1"/>
        <i x="162" nd="1"/>
        <i x="131" nd="1"/>
        <i x="70" nd="1"/>
        <i x="315" nd="1"/>
        <i x="284" nd="1"/>
        <i x="254" nd="1"/>
        <i x="102" nd="1"/>
        <i x="224" nd="1"/>
        <i x="346" nd="1"/>
        <i x="42" nd="1"/>
        <i x="11" nd="1"/>
        <i x="193" nd="1"/>
        <i x="163" nd="1"/>
        <i x="132" nd="1"/>
        <i x="71" nd="1"/>
        <i x="316" nd="1"/>
        <i x="285" nd="1"/>
        <i x="255" nd="1"/>
        <i x="103" nd="1"/>
        <i x="225" nd="1"/>
        <i x="347" nd="1"/>
        <i x="43" nd="1"/>
        <i x="12" nd="1"/>
        <i x="194" nd="1"/>
        <i x="164" nd="1"/>
        <i x="133" nd="1"/>
        <i x="72" nd="1"/>
        <i x="317" nd="1"/>
        <i x="286" nd="1"/>
        <i x="256" nd="1"/>
        <i x="104" nd="1"/>
        <i x="226" nd="1"/>
        <i x="348" nd="1"/>
        <i x="44" nd="1"/>
        <i x="13" nd="1"/>
        <i x="195" nd="1"/>
        <i x="165" nd="1"/>
        <i x="134" nd="1"/>
        <i x="73" nd="1"/>
        <i x="318" nd="1"/>
        <i x="287" nd="1"/>
        <i x="257" nd="1"/>
        <i x="105" nd="1"/>
        <i x="227" nd="1"/>
        <i x="349" nd="1"/>
        <i x="45" nd="1"/>
        <i x="14" nd="1"/>
        <i x="196" nd="1"/>
        <i x="166" nd="1"/>
        <i x="135" nd="1"/>
        <i x="74" nd="1"/>
        <i x="319" nd="1"/>
        <i x="288" nd="1"/>
        <i x="258" nd="1"/>
        <i x="106" nd="1"/>
        <i x="228" nd="1"/>
        <i x="350" nd="1"/>
        <i x="46" nd="1"/>
        <i x="15" nd="1"/>
        <i x="197" nd="1"/>
        <i x="167" nd="1"/>
        <i x="136" nd="1"/>
        <i x="75" nd="1"/>
        <i x="320" nd="1"/>
        <i x="289" nd="1"/>
        <i x="259" nd="1"/>
        <i x="107" nd="1"/>
        <i x="229" nd="1"/>
        <i x="351" nd="1"/>
        <i x="47" nd="1"/>
        <i x="16" nd="1"/>
        <i x="198" nd="1"/>
        <i x="168" nd="1"/>
        <i x="137" nd="1"/>
        <i x="76" nd="1"/>
        <i x="321" nd="1"/>
        <i x="290" nd="1"/>
        <i x="260" nd="1"/>
        <i x="108" nd="1"/>
        <i x="230" nd="1"/>
        <i x="352" nd="1"/>
        <i x="48" nd="1"/>
        <i x="17" nd="1"/>
        <i x="199" nd="1"/>
        <i x="169" nd="1"/>
        <i x="138" nd="1"/>
        <i x="77" nd="1"/>
        <i x="322" nd="1"/>
        <i x="291" nd="1"/>
        <i x="261" nd="1"/>
        <i x="109" nd="1"/>
        <i x="231" nd="1"/>
        <i x="353" nd="1"/>
        <i x="49" nd="1"/>
        <i x="18" nd="1"/>
        <i x="200" nd="1"/>
        <i x="170" nd="1"/>
        <i x="139" nd="1"/>
        <i x="78" nd="1"/>
        <i x="323" nd="1"/>
        <i x="292" nd="1"/>
        <i x="262" nd="1"/>
        <i x="110" nd="1"/>
        <i x="232" nd="1"/>
        <i x="354" nd="1"/>
        <i x="50" nd="1"/>
        <i x="19" nd="1"/>
        <i x="201" nd="1"/>
        <i x="171" nd="1"/>
        <i x="140" nd="1"/>
        <i x="79" nd="1"/>
        <i x="324" nd="1"/>
        <i x="293" nd="1"/>
        <i x="263" nd="1"/>
        <i x="111" nd="1"/>
        <i x="233" nd="1"/>
        <i x="355" nd="1"/>
        <i x="51" nd="1"/>
        <i x="20" nd="1"/>
        <i x="202" nd="1"/>
        <i x="172" nd="1"/>
        <i x="141" nd="1"/>
        <i x="80" nd="1"/>
        <i x="325" nd="1"/>
        <i x="294" nd="1"/>
        <i x="264" nd="1"/>
        <i x="112" nd="1"/>
        <i x="234" nd="1"/>
        <i x="356" nd="1"/>
        <i x="52" nd="1"/>
        <i x="21" nd="1"/>
        <i x="203" nd="1"/>
        <i x="173" nd="1"/>
        <i x="142" nd="1"/>
        <i x="81" nd="1"/>
        <i x="326" nd="1"/>
        <i x="295" nd="1"/>
        <i x="265" nd="1"/>
        <i x="113" nd="1"/>
        <i x="235" nd="1"/>
        <i x="357" nd="1"/>
        <i x="53" nd="1"/>
        <i x="22" nd="1"/>
        <i x="204" nd="1"/>
        <i x="174" nd="1"/>
        <i x="143" nd="1"/>
        <i x="82" nd="1"/>
        <i x="327" nd="1"/>
        <i x="296" nd="1"/>
        <i x="266" nd="1"/>
        <i x="114" nd="1"/>
        <i x="236" nd="1"/>
        <i x="358" nd="1"/>
        <i x="54" nd="1"/>
        <i x="23" nd="1"/>
        <i x="205" nd="1"/>
        <i x="175" nd="1"/>
        <i x="144" nd="1"/>
        <i x="83" nd="1"/>
        <i x="328" nd="1"/>
        <i x="297" nd="1"/>
        <i x="267" nd="1"/>
        <i x="115" nd="1"/>
        <i x="237" nd="1"/>
        <i x="359" nd="1"/>
        <i x="55" nd="1"/>
        <i x="24" nd="1"/>
        <i x="206" nd="1"/>
        <i x="176" nd="1"/>
        <i x="145" nd="1"/>
        <i x="84" nd="1"/>
        <i x="329" nd="1"/>
        <i x="298" nd="1"/>
        <i x="268" nd="1"/>
        <i x="116" nd="1"/>
        <i x="238" nd="1"/>
        <i x="360" nd="1"/>
        <i x="56" nd="1"/>
        <i x="25" nd="1"/>
        <i x="207" nd="1"/>
        <i x="177" nd="1"/>
        <i x="146" nd="1"/>
        <i x="85" nd="1"/>
        <i x="330" nd="1"/>
        <i x="299" nd="1"/>
        <i x="269" nd="1"/>
        <i x="117" nd="1"/>
        <i x="239" nd="1"/>
        <i x="361" nd="1"/>
        <i x="57" nd="1"/>
        <i x="26" nd="1"/>
        <i x="208" nd="1"/>
        <i x="178" nd="1"/>
        <i x="147" nd="1"/>
        <i x="86" nd="1"/>
        <i x="331" nd="1"/>
        <i x="300" nd="1"/>
        <i x="270" nd="1"/>
        <i x="118" nd="1"/>
        <i x="240" nd="1"/>
        <i x="362" nd="1"/>
        <i x="58" nd="1"/>
        <i x="27" nd="1"/>
        <i x="209" nd="1"/>
        <i x="179" nd="1"/>
        <i x="148" nd="1"/>
        <i x="87" nd="1"/>
        <i x="332" nd="1"/>
        <i x="301" nd="1"/>
        <i x="271" nd="1"/>
        <i x="119" nd="1"/>
        <i x="241" nd="1"/>
        <i x="363" nd="1"/>
        <i x="59" nd="1"/>
        <i x="28" nd="1"/>
        <i x="210" nd="1"/>
        <i x="180" nd="1"/>
        <i x="149" nd="1"/>
        <i x="88" nd="1"/>
        <i x="333" nd="1"/>
        <i x="302" nd="1"/>
        <i x="272" nd="1"/>
        <i x="120" nd="1"/>
        <i x="242" nd="1"/>
        <i x="364" nd="1"/>
        <i x="60" nd="1"/>
        <i x="29" nd="1"/>
        <i x="211" nd="1"/>
        <i x="181" nd="1"/>
        <i x="150" nd="1"/>
        <i x="89" nd="1"/>
        <i x="334" nd="1"/>
        <i x="303" nd="1"/>
        <i x="273" nd="1"/>
        <i x="121" nd="1"/>
        <i x="243" nd="1"/>
        <i x="365" nd="1"/>
        <i x="30" nd="1"/>
        <i x="212" nd="1"/>
        <i x="182" nd="1"/>
        <i x="151" nd="1"/>
        <i x="90" nd="1"/>
        <i x="335" nd="1"/>
        <i x="304" nd="1"/>
        <i x="274" nd="1"/>
        <i x="244" nd="1"/>
        <i x="366" nd="1"/>
        <i x="31" nd="1"/>
        <i x="213" nd="1"/>
        <i x="152" nd="1"/>
        <i x="91" nd="1"/>
        <i x="305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Órgão_Superior" xr10:uid="{E6DA33A2-116A-46AF-98BB-A6180C432538}" sourceName="Órgão Superior">
  <pivotTables>
    <pivotTable tabId="3" name="Tabela dinâmica4"/>
    <pivotTable tabId="3" name="Tabela dinâmica5"/>
    <pivotTable tabId="3" name="Tabela dinâmica8"/>
  </pivotTables>
  <data>
    <tabular pivotCacheId="1025199240">
      <items count="34">
        <i x="18" s="1"/>
        <i x="19" s="1"/>
        <i x="1" s="1"/>
        <i x="13" s="1"/>
        <i x="11" s="1"/>
        <i x="12" s="1"/>
        <i x="29" s="1"/>
        <i x="10" s="1"/>
        <i x="3" s="1"/>
        <i x="25" s="1"/>
        <i x="20" s="1"/>
        <i x="4" s="1"/>
        <i x="17" s="1"/>
        <i x="5" s="1"/>
        <i x="23" s="1"/>
        <i x="8" s="1"/>
        <i x="7" s="1"/>
        <i x="6" s="1"/>
        <i x="21" s="1"/>
        <i x="22" s="1"/>
        <i x="16" s="1"/>
        <i x="33" s="1"/>
        <i x="9" s="1"/>
        <i x="15" s="1"/>
        <i x="26" s="1"/>
        <i x="27" s="1"/>
        <i x="14" s="1"/>
        <i x="31" s="1"/>
        <i x="0" s="1"/>
        <i x="32" s="1"/>
        <i x="30" s="1"/>
        <i x="2" s="1"/>
        <i x="28" s="1"/>
        <i x="24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Órgão_Entidade_Vinculada" xr10:uid="{9315390E-DCED-4A27-86DA-DFFDA5E9EA02}" sourceName="Órgão/Entidade Vinculada">
  <pivotTables>
    <pivotTable tabId="3" name="Tabela dinâmica5"/>
    <pivotTable tabId="3" name="Tabela dinâmica4"/>
    <pivotTable tabId="3" name="contagem"/>
    <pivotTable tabId="3" name="Tabela dinâmica8"/>
  </pivotTables>
  <data>
    <tabular pivotCacheId="1025199240">
      <items count="252">
        <i x="193" s="1"/>
        <i x="90" s="1"/>
        <i x="47" s="1"/>
        <i x="10" s="1"/>
        <i x="26" s="1"/>
        <i x="190" s="1"/>
        <i x="1" s="1"/>
        <i x="44" s="1"/>
        <i x="43" s="1"/>
        <i x="46" s="1"/>
        <i x="117" s="1"/>
        <i x="51" s="1"/>
        <i x="36" s="1"/>
        <i x="32" s="1"/>
        <i x="41" s="1"/>
        <i x="195" s="1"/>
        <i x="113" s="1"/>
        <i x="99" s="1"/>
        <i x="162" s="1"/>
        <i x="157" s="1"/>
        <i x="37" s="1"/>
        <i x="28" s="1"/>
        <i x="35" s="1"/>
        <i x="30" s="1"/>
        <i x="84" s="1"/>
        <i x="163" s="1"/>
        <i x="160" s="1"/>
        <i x="20" s="1"/>
        <i x="201" s="1"/>
        <i x="100" s="1"/>
        <i x="167" s="1"/>
        <i x="15" s="1"/>
        <i x="25" s="1"/>
        <i x="48" s="1"/>
        <i x="197" s="1"/>
        <i x="83" s="1"/>
        <i x="88" s="1"/>
        <i x="89" s="1"/>
        <i x="80" s="1"/>
        <i x="166" s="1"/>
        <i x="21" s="1"/>
        <i x="76" s="1"/>
        <i x="207" s="1"/>
        <i x="203" s="1"/>
        <i x="227" s="1"/>
        <i x="229" s="1"/>
        <i x="211" s="1"/>
        <i x="245" s="1"/>
        <i x="214" s="1"/>
        <i x="216" s="1"/>
        <i x="235" s="1"/>
        <i x="206" s="1"/>
        <i x="234" s="1"/>
        <i x="218" s="1"/>
        <i x="239" s="1"/>
        <i x="240" s="1"/>
        <i x="237" s="1"/>
        <i x="221" s="1"/>
        <i x="222" s="1"/>
        <i x="247" s="1"/>
        <i x="248" s="1"/>
        <i x="220" s="1"/>
        <i x="75" s="1"/>
        <i x="209" s="1"/>
        <i x="246" s="1"/>
        <i x="243" s="1"/>
        <i x="244" s="1"/>
        <i x="18" s="1"/>
        <i x="19" s="1"/>
        <i x="250" s="1"/>
        <i x="208" s="1"/>
        <i x="212" s="1"/>
        <i x="223" s="1"/>
        <i x="215" s="1"/>
        <i x="249" s="1"/>
        <i x="73" s="1"/>
        <i x="205" s="1"/>
        <i x="63" s="1"/>
        <i x="230" s="1"/>
        <i x="58" s="1"/>
        <i x="57" s="1"/>
        <i x="59" s="1"/>
        <i x="238" s="1"/>
        <i x="67" s="1"/>
        <i x="69" s="1"/>
        <i x="71" s="1"/>
        <i x="217" s="1"/>
        <i x="62" s="1"/>
        <i x="74" s="1"/>
        <i x="65" s="1"/>
        <i x="64" s="1"/>
        <i x="224" s="1"/>
        <i x="72" s="1"/>
        <i x="61" s="1"/>
        <i x="66" s="1"/>
        <i x="70" s="1"/>
        <i x="158" s="1"/>
        <i x="45" s="1"/>
        <i x="49" s="1"/>
        <i x="109" s="1"/>
        <i x="101" s="1"/>
        <i x="60" s="1"/>
        <i x="236" s="1"/>
        <i x="68" s="1"/>
        <i x="122" s="1"/>
        <i x="134" s="1"/>
        <i x="118" s="1"/>
        <i x="135" s="1"/>
        <i x="136" s="1"/>
        <i x="154" s="1"/>
        <i x="137" s="1"/>
        <i x="125" s="1"/>
        <i x="140" s="1"/>
        <i x="148" s="1"/>
        <i x="149" s="1"/>
        <i x="151" s="1"/>
        <i x="138" s="1"/>
        <i x="139" s="1"/>
        <i x="142" s="1"/>
        <i x="121" s="1"/>
        <i x="126" s="1"/>
        <i x="146" s="1"/>
        <i x="152" s="1"/>
        <i x="127" s="1"/>
        <i x="119" s="1"/>
        <i x="130" s="1"/>
        <i x="150" s="1"/>
        <i x="132" s="1"/>
        <i x="133" s="1"/>
        <i x="120" s="1"/>
        <i x="123" s="1"/>
        <i x="124" s="1"/>
        <i x="147" s="1"/>
        <i x="143" s="1"/>
        <i x="141" s="1"/>
        <i x="144" s="1"/>
        <i x="153" s="1"/>
        <i x="145" s="1"/>
        <i x="155" s="1"/>
        <i x="128" s="1"/>
        <i x="129" s="1"/>
        <i x="131" s="1"/>
        <i x="204" s="1"/>
        <i x="233" s="1"/>
        <i x="202" s="1"/>
        <i x="38" s="1"/>
        <i x="232" s="1"/>
        <i x="242" s="1"/>
        <i x="226" s="1"/>
        <i x="241" s="1"/>
        <i x="210" s="1"/>
        <i x="213" s="1"/>
        <i x="219" s="1"/>
        <i x="228" s="1"/>
        <i x="225" s="1"/>
        <i x="231" s="1"/>
        <i x="182" s="1"/>
        <i x="40" s="1"/>
        <i x="29" s="1"/>
        <i x="251" s="1"/>
        <i x="27" s="1"/>
        <i x="171" s="1"/>
        <i x="191" s="1"/>
        <i x="53" s="1"/>
        <i x="159" s="1"/>
        <i x="156" s="1"/>
        <i x="54" s="1"/>
        <i x="31" s="1"/>
        <i x="14" s="1"/>
        <i x="192" s="1"/>
        <i x="85" s="1"/>
        <i x="107" s="1"/>
        <i x="103" s="1"/>
        <i x="95" s="1"/>
        <i x="105" s="1"/>
        <i x="16" s="1"/>
        <i x="179" s="1"/>
        <i x="11" s="1"/>
        <i x="3" s="1"/>
        <i x="39" s="1"/>
        <i x="4" s="1"/>
        <i x="173" s="1"/>
        <i x="200" s="1"/>
        <i x="98" s="1"/>
        <i x="178" s="1"/>
        <i x="42" s="1"/>
        <i x="174" s="1"/>
        <i x="55" s="1"/>
        <i x="110" s="1"/>
        <i x="52" s="1"/>
        <i x="8" s="1"/>
        <i x="5" s="1"/>
        <i x="33" s="1"/>
        <i x="50" s="1"/>
        <i x="161" s="1"/>
        <i x="93" s="1"/>
        <i x="82" s="1"/>
        <i x="189" s="1"/>
        <i x="7" s="1"/>
        <i x="34" s="1"/>
        <i x="186" s="1"/>
        <i x="176" s="1"/>
        <i x="12" s="1"/>
        <i x="106" s="1"/>
        <i x="164" s="1"/>
        <i x="112" s="1"/>
        <i x="184" s="1"/>
        <i x="104" s="1"/>
        <i x="9" s="1"/>
        <i x="116" s="1"/>
        <i x="114" s="1"/>
        <i x="194" s="1"/>
        <i x="168" s="1"/>
        <i x="185" s="1"/>
        <i x="180" s="1"/>
        <i x="91" s="1"/>
        <i x="81" s="1"/>
        <i x="183" s="1"/>
        <i x="165" s="1"/>
        <i x="22" s="1"/>
        <i x="24" s="1"/>
        <i x="23" s="1"/>
        <i x="17" s="1"/>
        <i x="111" s="1"/>
        <i x="56" s="1"/>
        <i x="13" s="1"/>
        <i x="92" s="1"/>
        <i x="170" s="1"/>
        <i x="198" s="1"/>
        <i x="199" s="1"/>
        <i x="196" s="1"/>
        <i x="79" s="1"/>
        <i x="77" s="1"/>
        <i x="78" s="1"/>
        <i x="187" s="1"/>
        <i x="94" s="1"/>
        <i x="181" s="1"/>
        <i x="96" s="1"/>
        <i x="175" s="1"/>
        <i x="102" s="1"/>
        <i x="172" s="1"/>
        <i x="108" s="1"/>
        <i x="115" s="1"/>
        <i x="2" s="1"/>
        <i x="97" s="1"/>
        <i x="0" s="1"/>
        <i x="177" s="1"/>
        <i x="169" s="1"/>
        <i x="6" s="1"/>
        <i x="87" s="1"/>
        <i x="86" s="1"/>
        <i x="188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Ano" xr10:uid="{B83E3031-9576-4933-9CA6-DC1D96AF1B8B}" cache="SegmentaçãodeDados_Mês_Ano" caption="Mês Ano" columnCount="4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Órgão Superior" xr10:uid="{59F12DC9-CB27-4F8A-84BE-9BBC06D1C97B}" cache="SegmentaçãodeDados_Órgão_Superior" caption="Órgão Superior" rowHeight="241300"/>
  <slicer name="Órgão/Entidade Vinculada" xr10:uid="{B4C7F119-4103-4BFF-8A99-387FF8AB2DF3}" cache="SegmentaçãodeDados_Órgão_Entidade_Vinculada" caption="Órgão/Entidade Vinculada" columnCount="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22AA28-40F2-4DBB-BDB0-541759DBD0F6}" name="Tabela1" displayName="Tabela1" ref="A1:G1951" totalsRowShown="0">
  <autoFilter ref="A1:G1951" xr:uid="{AEF154C9-84BC-47AF-8342-67A2C7B7D132}"/>
  <sortState ref="A2:G1951">
    <sortCondition ref="A1:A1951"/>
  </sortState>
  <tableColumns count="7">
    <tableColumn id="1" xr3:uid="{D47C672C-70B2-408A-83F2-C3BB911003EB}" name="Mês Ano" dataDxfId="14"/>
    <tableColumn id="2" xr3:uid="{3DA918CD-BAB3-4376-B552-8475CD0AFF9B}" name="Órgão Superior"/>
    <tableColumn id="3" xr3:uid="{BEFC4F91-3608-4152-8924-96C493173D75}" name="Órgão/Entidade Vinculada"/>
    <tableColumn id="4" xr3:uid="{DDE94969-D4BA-41E9-B601-07BACC8B0CED}" name="Valor Empenhado" dataDxfId="13"/>
    <tableColumn id="5" xr3:uid="{9BA49D9A-F104-4FF3-9414-50D4E1F03E41}" name="Valor Liquidado" dataDxfId="12"/>
    <tableColumn id="6" xr3:uid="{F95CCA66-FA6D-40AD-9A1B-16227C7F0F3D}" name="Valor Pago" dataDxfId="11"/>
    <tableColumn id="7" xr3:uid="{240D43E8-2D4A-4C21-BD61-32553E900CD6}" name="Valor Restos a Pagar Pagos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G1951"/>
  <sheetViews>
    <sheetView topLeftCell="A1758" workbookViewId="0">
      <selection activeCell="B69" sqref="B69"/>
    </sheetView>
  </sheetViews>
  <sheetFormatPr defaultRowHeight="15" x14ac:dyDescent="0.25"/>
  <cols>
    <col min="1" max="1" width="10.85546875" customWidth="1"/>
    <col min="2" max="2" width="79.5703125" bestFit="1" customWidth="1"/>
    <col min="3" max="3" width="101.42578125" bestFit="1" customWidth="1"/>
    <col min="4" max="4" width="18.85546875" customWidth="1"/>
    <col min="5" max="6" width="17.5703125" bestFit="1" customWidth="1"/>
    <col min="7" max="7" width="26.425781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44927</v>
      </c>
      <c r="B2" t="s">
        <v>7</v>
      </c>
      <c r="C2" t="s">
        <v>8</v>
      </c>
      <c r="D2" s="2">
        <v>3710251858.9099998</v>
      </c>
      <c r="E2" s="2">
        <v>285598924.52999997</v>
      </c>
      <c r="F2" s="2">
        <v>96008218.599999994</v>
      </c>
      <c r="G2" s="2">
        <v>260167823.13999999</v>
      </c>
    </row>
    <row r="3" spans="1:7" x14ac:dyDescent="0.25">
      <c r="A3" s="1">
        <v>44927</v>
      </c>
      <c r="B3" t="s">
        <v>9</v>
      </c>
      <c r="C3" t="s">
        <v>10</v>
      </c>
      <c r="D3" s="2">
        <v>13128596.67</v>
      </c>
      <c r="E3" s="2">
        <v>1378711.16</v>
      </c>
      <c r="F3" s="2">
        <v>398602.56</v>
      </c>
      <c r="G3" s="2">
        <v>2876383.11</v>
      </c>
    </row>
    <row r="4" spans="1:7" x14ac:dyDescent="0.25">
      <c r="A4" s="1">
        <v>44927</v>
      </c>
      <c r="B4" t="s">
        <v>11</v>
      </c>
      <c r="C4" t="s">
        <v>12</v>
      </c>
      <c r="D4" s="2">
        <v>360083726.37</v>
      </c>
      <c r="E4" s="2">
        <v>34060433.950000003</v>
      </c>
      <c r="F4" s="2">
        <v>11105278.890000001</v>
      </c>
      <c r="G4" s="2">
        <v>29649120.530000001</v>
      </c>
    </row>
    <row r="5" spans="1:7" x14ac:dyDescent="0.25">
      <c r="A5" s="1">
        <v>44927</v>
      </c>
      <c r="B5" t="s">
        <v>13</v>
      </c>
      <c r="C5" t="s">
        <v>14</v>
      </c>
      <c r="D5" s="2">
        <v>2760324869.77</v>
      </c>
      <c r="E5" s="2">
        <v>66093873.560000002</v>
      </c>
      <c r="F5" s="2">
        <v>55509930.859999999</v>
      </c>
      <c r="G5" s="2">
        <v>190849299.63999999</v>
      </c>
    </row>
    <row r="6" spans="1:7" x14ac:dyDescent="0.25">
      <c r="A6" s="1">
        <v>44927</v>
      </c>
      <c r="B6" t="s">
        <v>13</v>
      </c>
      <c r="C6" t="s">
        <v>15</v>
      </c>
      <c r="D6" s="2">
        <v>8497383360.75</v>
      </c>
      <c r="E6" s="2">
        <v>167265150.81999999</v>
      </c>
      <c r="F6" s="2">
        <v>151921777.61000001</v>
      </c>
      <c r="G6" s="2">
        <v>150992699.78</v>
      </c>
    </row>
    <row r="7" spans="1:7" x14ac:dyDescent="0.25">
      <c r="A7" s="1">
        <v>44927</v>
      </c>
      <c r="B7" t="s">
        <v>16</v>
      </c>
      <c r="C7" t="s">
        <v>17</v>
      </c>
      <c r="D7" s="2">
        <v>198680853.43000001</v>
      </c>
      <c r="E7" s="2">
        <v>15271675.08</v>
      </c>
      <c r="F7" s="2">
        <v>5750470.8200000003</v>
      </c>
      <c r="G7" s="2">
        <v>14650299.4</v>
      </c>
    </row>
    <row r="8" spans="1:7" x14ac:dyDescent="0.25">
      <c r="A8" s="1">
        <v>44927</v>
      </c>
      <c r="B8" t="s">
        <v>11</v>
      </c>
      <c r="C8" t="s">
        <v>18</v>
      </c>
      <c r="D8" s="2">
        <v>36805030</v>
      </c>
      <c r="E8" s="2">
        <v>9185717.8399999999</v>
      </c>
      <c r="F8" s="2">
        <v>3013484.61</v>
      </c>
      <c r="G8" s="2">
        <v>10303447.17</v>
      </c>
    </row>
    <row r="9" spans="1:7" x14ac:dyDescent="0.25">
      <c r="A9" s="1">
        <v>44927</v>
      </c>
      <c r="B9" t="s">
        <v>19</v>
      </c>
      <c r="C9" t="s">
        <v>20</v>
      </c>
      <c r="D9" s="2">
        <v>285063138.89999998</v>
      </c>
      <c r="E9" s="2">
        <v>21614038.620000001</v>
      </c>
      <c r="F9" s="2">
        <v>7387438.0599999996</v>
      </c>
      <c r="G9" s="2">
        <v>34254330.740000002</v>
      </c>
    </row>
    <row r="10" spans="1:7" x14ac:dyDescent="0.25">
      <c r="A10" s="1">
        <v>44927</v>
      </c>
      <c r="B10" t="s">
        <v>16</v>
      </c>
      <c r="C10" t="s">
        <v>21</v>
      </c>
      <c r="D10" s="2">
        <v>139928603.02000001</v>
      </c>
      <c r="E10" s="2">
        <v>50037308.68</v>
      </c>
      <c r="F10" s="2">
        <v>16304739.52</v>
      </c>
      <c r="G10" s="2">
        <v>50525996.060000002</v>
      </c>
    </row>
    <row r="11" spans="1:7" x14ac:dyDescent="0.25">
      <c r="A11" s="1">
        <v>44927</v>
      </c>
      <c r="B11" t="s">
        <v>22</v>
      </c>
      <c r="C11" t="s">
        <v>23</v>
      </c>
      <c r="D11" s="2">
        <v>141524094.88999999</v>
      </c>
      <c r="E11" s="2">
        <v>8682475.9299999997</v>
      </c>
      <c r="F11" s="2">
        <v>3008137.3</v>
      </c>
      <c r="G11" s="2">
        <v>19608559.050000001</v>
      </c>
    </row>
    <row r="12" spans="1:7" x14ac:dyDescent="0.25">
      <c r="A12" s="1">
        <v>44927</v>
      </c>
      <c r="B12" t="s">
        <v>24</v>
      </c>
      <c r="C12" t="s">
        <v>25</v>
      </c>
      <c r="D12" s="2">
        <v>11540896.07</v>
      </c>
      <c r="E12" s="2">
        <v>7845066.1100000003</v>
      </c>
      <c r="F12" s="2">
        <v>2788570.39</v>
      </c>
      <c r="G12" s="2">
        <v>10976096.27</v>
      </c>
    </row>
    <row r="13" spans="1:7" x14ac:dyDescent="0.25">
      <c r="A13" s="1">
        <v>44927</v>
      </c>
      <c r="B13" t="s">
        <v>13</v>
      </c>
      <c r="C13" t="s">
        <v>26</v>
      </c>
      <c r="D13" s="2">
        <v>295194178.88</v>
      </c>
      <c r="E13" s="2">
        <v>20873960.739999998</v>
      </c>
      <c r="F13" s="2">
        <v>6657642.3499999996</v>
      </c>
      <c r="G13" s="2">
        <v>3253979753.1500001</v>
      </c>
    </row>
    <row r="14" spans="1:7" x14ac:dyDescent="0.25">
      <c r="A14" s="1">
        <v>44927</v>
      </c>
      <c r="B14" t="s">
        <v>27</v>
      </c>
      <c r="C14" t="s">
        <v>28</v>
      </c>
      <c r="D14" s="2">
        <v>108217584.09999999</v>
      </c>
      <c r="E14" s="2">
        <v>32295890.530000001</v>
      </c>
      <c r="F14" s="2">
        <v>10877336.85</v>
      </c>
      <c r="G14" s="2">
        <v>33689584.810000002</v>
      </c>
    </row>
    <row r="15" spans="1:7" x14ac:dyDescent="0.25">
      <c r="A15" s="1">
        <v>44927</v>
      </c>
      <c r="B15" t="s">
        <v>29</v>
      </c>
      <c r="C15" t="s">
        <v>30</v>
      </c>
      <c r="D15" s="2">
        <v>324520691.99000001</v>
      </c>
      <c r="E15" s="2">
        <v>21708274.379999999</v>
      </c>
      <c r="F15" s="2">
        <v>144417.07999999999</v>
      </c>
      <c r="G15" s="2">
        <v>29276297.09</v>
      </c>
    </row>
    <row r="16" spans="1:7" x14ac:dyDescent="0.25">
      <c r="A16" s="1">
        <v>44927</v>
      </c>
      <c r="B16" t="s">
        <v>33</v>
      </c>
      <c r="C16" t="s">
        <v>34</v>
      </c>
      <c r="D16" s="2">
        <v>342941229.31999999</v>
      </c>
      <c r="E16" s="2">
        <v>284341304.63</v>
      </c>
      <c r="F16" s="2">
        <v>15157500.949999999</v>
      </c>
      <c r="G16" s="2">
        <v>273877643.44999999</v>
      </c>
    </row>
    <row r="17" spans="1:7" x14ac:dyDescent="0.25">
      <c r="A17" s="1">
        <v>44927</v>
      </c>
      <c r="B17" t="s">
        <v>29</v>
      </c>
      <c r="C17" t="s">
        <v>35</v>
      </c>
      <c r="D17" s="2">
        <v>228475363.69999999</v>
      </c>
      <c r="E17" s="2">
        <v>8017294.7699999996</v>
      </c>
      <c r="F17" s="2">
        <v>8017294.7699999996</v>
      </c>
      <c r="G17" s="2">
        <v>17957761.940000001</v>
      </c>
    </row>
    <row r="18" spans="1:7" x14ac:dyDescent="0.25">
      <c r="A18" s="1">
        <v>44927</v>
      </c>
      <c r="B18" t="s">
        <v>29</v>
      </c>
      <c r="C18" t="s">
        <v>36</v>
      </c>
      <c r="D18" s="2">
        <v>1670209</v>
      </c>
      <c r="E18" s="2">
        <v>121806.64</v>
      </c>
      <c r="F18" s="2">
        <v>12526.92</v>
      </c>
      <c r="G18" s="2">
        <v>317805.36</v>
      </c>
    </row>
    <row r="19" spans="1:7" x14ac:dyDescent="0.25">
      <c r="A19" s="1">
        <v>44927</v>
      </c>
      <c r="B19" t="s">
        <v>37</v>
      </c>
      <c r="C19" t="s">
        <v>38</v>
      </c>
      <c r="D19" s="2">
        <v>369692744.79000002</v>
      </c>
      <c r="E19" s="2">
        <v>30530931.949999999</v>
      </c>
      <c r="F19" s="2">
        <v>5744108.3099999996</v>
      </c>
      <c r="G19" s="2">
        <v>32695775.359999999</v>
      </c>
    </row>
    <row r="20" spans="1:7" x14ac:dyDescent="0.25">
      <c r="A20" s="1">
        <v>44927</v>
      </c>
      <c r="B20" t="s">
        <v>37</v>
      </c>
      <c r="C20" t="s">
        <v>39</v>
      </c>
      <c r="D20" s="2">
        <v>446571570.55000001</v>
      </c>
      <c r="E20" s="2">
        <v>39762612.859999999</v>
      </c>
      <c r="F20" s="2">
        <v>13672902.91</v>
      </c>
      <c r="G20" s="2">
        <v>38560070.32</v>
      </c>
    </row>
    <row r="21" spans="1:7" x14ac:dyDescent="0.25">
      <c r="A21" s="1">
        <v>44927</v>
      </c>
      <c r="B21" t="s">
        <v>9</v>
      </c>
      <c r="C21" t="s">
        <v>40</v>
      </c>
      <c r="D21" s="2">
        <v>30789198.559999999</v>
      </c>
      <c r="E21" s="2">
        <v>1725772.13</v>
      </c>
      <c r="F21" s="2">
        <v>583776.78</v>
      </c>
      <c r="G21" s="2">
        <v>2997228.95</v>
      </c>
    </row>
    <row r="22" spans="1:7" x14ac:dyDescent="0.25">
      <c r="A22" s="1">
        <v>44927</v>
      </c>
      <c r="B22" t="s">
        <v>37</v>
      </c>
      <c r="C22" t="s">
        <v>41</v>
      </c>
      <c r="D22" s="2">
        <v>474379776</v>
      </c>
      <c r="E22" s="2">
        <v>51069704.189999998</v>
      </c>
      <c r="F22" s="2">
        <v>13900327.9</v>
      </c>
      <c r="G22" s="2">
        <v>54858169.43</v>
      </c>
    </row>
    <row r="23" spans="1:7" x14ac:dyDescent="0.25">
      <c r="A23" s="1">
        <v>44927</v>
      </c>
      <c r="B23" t="s">
        <v>29</v>
      </c>
      <c r="C23" t="s">
        <v>42</v>
      </c>
      <c r="D23" s="2">
        <v>1885665614.45</v>
      </c>
      <c r="E23" s="2">
        <v>1743084475.02</v>
      </c>
      <c r="F23" s="2">
        <v>34313876.170000002</v>
      </c>
      <c r="G23" s="2">
        <v>1486391246.5999999</v>
      </c>
    </row>
    <row r="24" spans="1:7" x14ac:dyDescent="0.25">
      <c r="A24" s="1">
        <v>44927</v>
      </c>
      <c r="B24" t="s">
        <v>29</v>
      </c>
      <c r="C24" t="s">
        <v>43</v>
      </c>
      <c r="D24" s="2">
        <v>26107138307.310001</v>
      </c>
      <c r="E24" s="2">
        <v>2089411615.8</v>
      </c>
      <c r="F24" s="2">
        <v>523048114.79000002</v>
      </c>
      <c r="G24" s="2">
        <v>1783606614.4200001</v>
      </c>
    </row>
    <row r="25" spans="1:7" x14ac:dyDescent="0.25">
      <c r="A25" s="1">
        <v>44927</v>
      </c>
      <c r="B25" t="s">
        <v>29</v>
      </c>
      <c r="C25" t="s">
        <v>44</v>
      </c>
      <c r="D25" s="2">
        <v>48142415878.349998</v>
      </c>
      <c r="E25" s="2">
        <v>3744199456.5799999</v>
      </c>
      <c r="F25" s="2">
        <v>927960911.42999995</v>
      </c>
      <c r="G25" s="2">
        <v>3016262062.71</v>
      </c>
    </row>
    <row r="26" spans="1:7" x14ac:dyDescent="0.25">
      <c r="A26" s="1">
        <v>44927</v>
      </c>
      <c r="B26" t="s">
        <v>45</v>
      </c>
      <c r="C26" t="s">
        <v>46</v>
      </c>
      <c r="D26" s="2">
        <v>186934805.28999999</v>
      </c>
      <c r="E26" s="2">
        <v>15328863.82</v>
      </c>
      <c r="F26" s="2">
        <v>4503115.5599999996</v>
      </c>
      <c r="G26" s="2">
        <v>14532575.66</v>
      </c>
    </row>
    <row r="27" spans="1:7" x14ac:dyDescent="0.25">
      <c r="A27" s="1">
        <v>44927</v>
      </c>
      <c r="B27" t="s">
        <v>9</v>
      </c>
      <c r="C27" t="s">
        <v>47</v>
      </c>
      <c r="D27" s="2">
        <v>658757301.83000004</v>
      </c>
      <c r="E27" s="2">
        <v>59596094.270000003</v>
      </c>
      <c r="F27" s="2">
        <v>23443900.829999998</v>
      </c>
      <c r="G27" s="2">
        <v>60682309.310000002</v>
      </c>
    </row>
    <row r="28" spans="1:7" x14ac:dyDescent="0.25">
      <c r="A28" s="1">
        <v>44927</v>
      </c>
      <c r="B28" t="s">
        <v>48</v>
      </c>
      <c r="C28" t="s">
        <v>49</v>
      </c>
      <c r="D28" s="2">
        <v>90591476.430000007</v>
      </c>
      <c r="E28" s="2">
        <v>66463070.780000001</v>
      </c>
      <c r="F28" s="2">
        <v>36470540.039999999</v>
      </c>
      <c r="G28" s="2">
        <v>49671903.119999997</v>
      </c>
    </row>
    <row r="29" spans="1:7" x14ac:dyDescent="0.25">
      <c r="A29" s="1">
        <v>44927</v>
      </c>
      <c r="B29" t="s">
        <v>50</v>
      </c>
      <c r="C29" t="s">
        <v>51</v>
      </c>
      <c r="D29" s="2">
        <v>579274048.24000001</v>
      </c>
      <c r="E29" s="2">
        <v>71032217.609999999</v>
      </c>
      <c r="F29" s="2">
        <v>7841312.5599999996</v>
      </c>
      <c r="G29" s="2">
        <v>140469561.55000001</v>
      </c>
    </row>
    <row r="30" spans="1:7" x14ac:dyDescent="0.25">
      <c r="A30" s="1">
        <v>44927</v>
      </c>
      <c r="B30" t="s">
        <v>13</v>
      </c>
      <c r="C30" t="s">
        <v>52</v>
      </c>
      <c r="D30" s="2">
        <v>48985847.149999999</v>
      </c>
      <c r="E30" s="2">
        <v>31965059.559999999</v>
      </c>
      <c r="F30" s="2">
        <v>4870161.8</v>
      </c>
      <c r="G30" s="2">
        <v>18513357.949999999</v>
      </c>
    </row>
    <row r="31" spans="1:7" x14ac:dyDescent="0.25">
      <c r="A31" s="1">
        <v>44927</v>
      </c>
      <c r="B31" t="s">
        <v>53</v>
      </c>
      <c r="C31" t="s">
        <v>54</v>
      </c>
      <c r="D31" s="2">
        <v>326827726.01999998</v>
      </c>
      <c r="E31" s="2">
        <v>97457618.989999995</v>
      </c>
      <c r="F31" s="2">
        <v>30907790.550000001</v>
      </c>
      <c r="G31" s="2">
        <v>100975757.97</v>
      </c>
    </row>
    <row r="32" spans="1:7" x14ac:dyDescent="0.25">
      <c r="A32" s="1">
        <v>44927</v>
      </c>
      <c r="B32" t="s">
        <v>31</v>
      </c>
      <c r="C32" t="s">
        <v>55</v>
      </c>
      <c r="D32" s="2">
        <v>8252546.1500000004</v>
      </c>
      <c r="E32" s="2">
        <v>1277883.3400000001</v>
      </c>
      <c r="F32" s="2">
        <v>362421.87</v>
      </c>
      <c r="G32" s="2">
        <v>2539243.54</v>
      </c>
    </row>
    <row r="33" spans="1:7" x14ac:dyDescent="0.25">
      <c r="A33" s="1">
        <v>44927</v>
      </c>
      <c r="B33" t="s">
        <v>9</v>
      </c>
      <c r="C33" t="s">
        <v>56</v>
      </c>
      <c r="D33" s="2">
        <v>218760870.06</v>
      </c>
      <c r="E33" s="2">
        <v>17807154.690000001</v>
      </c>
      <c r="F33" s="2">
        <v>5585900.25</v>
      </c>
      <c r="G33" s="2">
        <v>22327688.84</v>
      </c>
    </row>
    <row r="34" spans="1:7" x14ac:dyDescent="0.25">
      <c r="A34" s="1">
        <v>44927</v>
      </c>
      <c r="B34" t="s">
        <v>57</v>
      </c>
      <c r="C34" t="s">
        <v>58</v>
      </c>
      <c r="D34" s="2">
        <v>1146259647.3</v>
      </c>
      <c r="E34" s="2">
        <v>88438208.780000001</v>
      </c>
      <c r="F34" s="2">
        <v>29560213.41</v>
      </c>
      <c r="G34" s="2">
        <v>78827725.810000002</v>
      </c>
    </row>
    <row r="35" spans="1:7" x14ac:dyDescent="0.25">
      <c r="A35" s="1">
        <v>44927</v>
      </c>
      <c r="B35" t="s">
        <v>19</v>
      </c>
      <c r="C35" t="s">
        <v>59</v>
      </c>
      <c r="D35" s="2">
        <v>325837325.11000001</v>
      </c>
      <c r="E35" s="2">
        <v>60478134.810000002</v>
      </c>
      <c r="F35" s="2">
        <v>18418192.640000001</v>
      </c>
      <c r="G35" s="2">
        <v>618099777.29999995</v>
      </c>
    </row>
    <row r="36" spans="1:7" x14ac:dyDescent="0.25">
      <c r="A36" s="1">
        <v>44927</v>
      </c>
      <c r="B36" t="s">
        <v>50</v>
      </c>
      <c r="C36" t="s">
        <v>60</v>
      </c>
      <c r="D36" s="2">
        <v>54872482.609999999</v>
      </c>
      <c r="E36" s="2">
        <v>51087460.079999998</v>
      </c>
      <c r="F36" s="2">
        <v>5609249.7000000002</v>
      </c>
      <c r="G36" s="2">
        <v>62930980.990000002</v>
      </c>
    </row>
    <row r="37" spans="1:7" x14ac:dyDescent="0.25">
      <c r="A37" s="1">
        <v>44927</v>
      </c>
      <c r="B37" t="s">
        <v>61</v>
      </c>
      <c r="C37" t="s">
        <v>62</v>
      </c>
      <c r="D37" s="2">
        <v>388358962.57999998</v>
      </c>
      <c r="E37" s="2">
        <v>33879204.189999998</v>
      </c>
      <c r="F37" s="2">
        <v>3293365.24</v>
      </c>
      <c r="G37" s="2">
        <v>23450374.670000002</v>
      </c>
    </row>
    <row r="38" spans="1:7" x14ac:dyDescent="0.25">
      <c r="A38" s="1">
        <v>44927</v>
      </c>
      <c r="B38" t="s">
        <v>63</v>
      </c>
      <c r="C38" t="s">
        <v>64</v>
      </c>
      <c r="D38" s="2">
        <v>3267698039.8699999</v>
      </c>
      <c r="E38" s="2">
        <v>241836732.72999999</v>
      </c>
      <c r="F38" s="2">
        <v>27973045.559999999</v>
      </c>
      <c r="G38" s="2">
        <v>237366183.06999999</v>
      </c>
    </row>
    <row r="39" spans="1:7" x14ac:dyDescent="0.25">
      <c r="A39" s="1">
        <v>44927</v>
      </c>
      <c r="B39" t="s">
        <v>37</v>
      </c>
      <c r="C39" t="s">
        <v>65</v>
      </c>
      <c r="D39" s="2">
        <v>6118456015.8800001</v>
      </c>
      <c r="E39" s="2">
        <v>444662730.94</v>
      </c>
      <c r="F39" s="2">
        <v>88995269.900000006</v>
      </c>
      <c r="G39" s="2">
        <v>1094818306.9000001</v>
      </c>
    </row>
    <row r="40" spans="1:7" x14ac:dyDescent="0.25">
      <c r="A40" s="1">
        <v>44927</v>
      </c>
      <c r="B40" t="s">
        <v>13</v>
      </c>
      <c r="C40" t="s">
        <v>66</v>
      </c>
      <c r="D40" s="2">
        <v>101527941.33</v>
      </c>
      <c r="E40" s="2">
        <v>8311907.5999999996</v>
      </c>
      <c r="F40" s="2">
        <v>1171505.73</v>
      </c>
      <c r="G40" s="2">
        <v>8054525.9400000004</v>
      </c>
    </row>
    <row r="41" spans="1:7" x14ac:dyDescent="0.25">
      <c r="A41" s="1">
        <v>44927</v>
      </c>
      <c r="B41" t="s">
        <v>48</v>
      </c>
      <c r="C41" t="s">
        <v>67</v>
      </c>
      <c r="D41" s="2">
        <v>21906957.280000001</v>
      </c>
      <c r="E41" s="2">
        <v>18321386.129999999</v>
      </c>
      <c r="F41" s="2">
        <v>4360087.41</v>
      </c>
      <c r="G41" s="2">
        <v>15167299.17</v>
      </c>
    </row>
    <row r="42" spans="1:7" x14ac:dyDescent="0.25">
      <c r="A42" s="1">
        <v>44927</v>
      </c>
      <c r="B42" t="s">
        <v>9</v>
      </c>
      <c r="C42" t="s">
        <v>68</v>
      </c>
      <c r="D42" s="2">
        <v>16473.04</v>
      </c>
      <c r="E42">
        <v>0</v>
      </c>
      <c r="F42">
        <v>0</v>
      </c>
      <c r="G42">
        <v>0</v>
      </c>
    </row>
    <row r="43" spans="1:7" x14ac:dyDescent="0.25">
      <c r="A43" s="1">
        <v>44927</v>
      </c>
      <c r="B43" t="s">
        <v>69</v>
      </c>
      <c r="C43" t="s">
        <v>70</v>
      </c>
      <c r="D43" s="2">
        <v>9131418.4900000002</v>
      </c>
      <c r="E43" s="2">
        <v>616372.91</v>
      </c>
      <c r="F43" s="2">
        <v>184381.7</v>
      </c>
      <c r="G43" s="2">
        <v>607469.93000000005</v>
      </c>
    </row>
    <row r="44" spans="1:7" x14ac:dyDescent="0.25">
      <c r="A44" s="1">
        <v>44927</v>
      </c>
      <c r="B44" t="s">
        <v>24</v>
      </c>
      <c r="C44" t="s">
        <v>71</v>
      </c>
      <c r="D44" s="2">
        <v>5685440.8099999996</v>
      </c>
      <c r="E44" s="2">
        <v>5482960.9400000004</v>
      </c>
      <c r="F44" s="2">
        <v>1171377.99</v>
      </c>
      <c r="G44" s="2">
        <v>7046365.9699999997</v>
      </c>
    </row>
    <row r="45" spans="1:7" x14ac:dyDescent="0.25">
      <c r="A45" s="1">
        <v>44927</v>
      </c>
      <c r="B45" t="s">
        <v>24</v>
      </c>
      <c r="C45" t="s">
        <v>72</v>
      </c>
      <c r="D45" s="2">
        <v>40385128</v>
      </c>
      <c r="E45" s="2">
        <v>2977091.94</v>
      </c>
      <c r="F45" s="2">
        <v>846671.23</v>
      </c>
      <c r="G45" s="2">
        <v>2798560.82</v>
      </c>
    </row>
    <row r="46" spans="1:7" x14ac:dyDescent="0.25">
      <c r="A46" s="1">
        <v>44927</v>
      </c>
      <c r="B46" t="s">
        <v>37</v>
      </c>
      <c r="C46" t="s">
        <v>73</v>
      </c>
      <c r="D46" s="2">
        <v>225510486.83000001</v>
      </c>
      <c r="E46" s="2">
        <v>25607586.68</v>
      </c>
      <c r="F46" s="2">
        <v>14596998.699999999</v>
      </c>
      <c r="G46" s="2">
        <v>222832215.31999999</v>
      </c>
    </row>
    <row r="47" spans="1:7" x14ac:dyDescent="0.25">
      <c r="A47" s="1">
        <v>44927</v>
      </c>
      <c r="B47" t="s">
        <v>24</v>
      </c>
      <c r="C47" t="s">
        <v>74</v>
      </c>
      <c r="D47" s="2">
        <v>707994.34</v>
      </c>
      <c r="E47" s="2">
        <v>596577.81999999995</v>
      </c>
      <c r="F47" s="2">
        <v>114725.42</v>
      </c>
      <c r="G47" s="2">
        <v>1320932.4099999999</v>
      </c>
    </row>
    <row r="48" spans="1:7" x14ac:dyDescent="0.25">
      <c r="A48" s="1">
        <v>44927</v>
      </c>
      <c r="B48" t="s">
        <v>75</v>
      </c>
      <c r="C48" t="s">
        <v>76</v>
      </c>
      <c r="D48" s="2">
        <v>44197791.229999997</v>
      </c>
      <c r="E48" s="2">
        <v>3837344.22</v>
      </c>
      <c r="F48" s="2">
        <v>881341.35</v>
      </c>
      <c r="G48" s="2">
        <v>6302555.04</v>
      </c>
    </row>
    <row r="49" spans="1:7" x14ac:dyDescent="0.25">
      <c r="A49" s="1">
        <v>44927</v>
      </c>
      <c r="B49" t="s">
        <v>77</v>
      </c>
      <c r="C49" t="s">
        <v>78</v>
      </c>
      <c r="D49" s="2">
        <v>220711289.86000001</v>
      </c>
      <c r="E49" s="2">
        <v>204175539.50999999</v>
      </c>
      <c r="F49" s="2">
        <v>41507956.009999998</v>
      </c>
      <c r="G49" s="2">
        <v>330097949.45999998</v>
      </c>
    </row>
    <row r="50" spans="1:7" x14ac:dyDescent="0.25">
      <c r="A50" s="1">
        <v>44927</v>
      </c>
      <c r="B50" t="s">
        <v>37</v>
      </c>
      <c r="C50" t="s">
        <v>79</v>
      </c>
      <c r="D50" s="2">
        <v>107365293.63</v>
      </c>
      <c r="E50" s="2">
        <v>8573437.9199999999</v>
      </c>
      <c r="F50" s="2">
        <v>2143472.8199999998</v>
      </c>
      <c r="G50" s="2">
        <v>9300274.3000000007</v>
      </c>
    </row>
    <row r="51" spans="1:7" x14ac:dyDescent="0.25">
      <c r="A51" s="1">
        <v>44927</v>
      </c>
      <c r="B51" t="s">
        <v>80</v>
      </c>
      <c r="C51" t="s">
        <v>81</v>
      </c>
      <c r="D51" s="2">
        <v>85288955.230000004</v>
      </c>
      <c r="E51" s="2">
        <v>7013034.9800000004</v>
      </c>
      <c r="F51" s="2">
        <v>1923778.2</v>
      </c>
      <c r="G51" s="2">
        <v>5886314.6699999999</v>
      </c>
    </row>
    <row r="52" spans="1:7" x14ac:dyDescent="0.25">
      <c r="A52" s="1">
        <v>44927</v>
      </c>
      <c r="B52" t="s">
        <v>24</v>
      </c>
      <c r="C52" t="s">
        <v>82</v>
      </c>
      <c r="D52" s="2">
        <v>56506633.299999997</v>
      </c>
      <c r="E52" s="2">
        <v>3940472.14</v>
      </c>
      <c r="F52" s="2">
        <v>535454.93000000005</v>
      </c>
      <c r="G52" s="2">
        <v>6792048.9500000002</v>
      </c>
    </row>
    <row r="53" spans="1:7" x14ac:dyDescent="0.25">
      <c r="A53" s="1">
        <v>44927</v>
      </c>
      <c r="B53" t="s">
        <v>16</v>
      </c>
      <c r="C53" t="s">
        <v>83</v>
      </c>
      <c r="D53" s="2">
        <v>182970810.36000001</v>
      </c>
      <c r="E53" s="2">
        <v>133836310.76000001</v>
      </c>
      <c r="F53" s="2">
        <v>12437722.23</v>
      </c>
      <c r="G53" s="2">
        <v>149248694.81999999</v>
      </c>
    </row>
    <row r="54" spans="1:7" x14ac:dyDescent="0.25">
      <c r="A54" s="1">
        <v>44927</v>
      </c>
      <c r="B54" t="s">
        <v>84</v>
      </c>
      <c r="C54" t="s">
        <v>85</v>
      </c>
      <c r="D54" s="2">
        <v>385692029.72000003</v>
      </c>
      <c r="E54" s="2">
        <v>32096902.370000001</v>
      </c>
      <c r="F54" s="2">
        <v>7009694.0899999999</v>
      </c>
      <c r="G54" s="2">
        <v>42837392.789999999</v>
      </c>
    </row>
    <row r="55" spans="1:7" x14ac:dyDescent="0.25">
      <c r="A55" s="1">
        <v>44927</v>
      </c>
      <c r="B55" t="s">
        <v>84</v>
      </c>
      <c r="C55" t="s">
        <v>86</v>
      </c>
      <c r="D55">
        <v>0</v>
      </c>
      <c r="E55">
        <v>0</v>
      </c>
      <c r="F55">
        <v>0</v>
      </c>
      <c r="G55" s="2">
        <v>31924.65</v>
      </c>
    </row>
    <row r="56" spans="1:7" x14ac:dyDescent="0.25">
      <c r="A56" s="1">
        <v>44927</v>
      </c>
      <c r="B56" t="s">
        <v>16</v>
      </c>
      <c r="C56" t="s">
        <v>87</v>
      </c>
      <c r="D56" s="2">
        <v>2017196550.6500001</v>
      </c>
      <c r="E56" s="2">
        <v>323253169.81</v>
      </c>
      <c r="F56" s="2">
        <v>150008563.22999999</v>
      </c>
      <c r="G56" s="2">
        <v>313470886.31</v>
      </c>
    </row>
    <row r="57" spans="1:7" x14ac:dyDescent="0.25">
      <c r="A57" s="1">
        <v>44927</v>
      </c>
      <c r="B57" t="s">
        <v>29</v>
      </c>
      <c r="C57" t="s">
        <v>88</v>
      </c>
      <c r="D57" s="2">
        <v>21762574.359999999</v>
      </c>
      <c r="E57" s="2">
        <v>1574313.9</v>
      </c>
      <c r="F57" s="2">
        <v>506247.05</v>
      </c>
      <c r="G57" s="2">
        <v>1597846.65</v>
      </c>
    </row>
    <row r="58" spans="1:7" x14ac:dyDescent="0.25">
      <c r="A58" s="1">
        <v>44927</v>
      </c>
      <c r="B58" t="s">
        <v>37</v>
      </c>
      <c r="C58" t="s">
        <v>89</v>
      </c>
      <c r="D58" s="2">
        <v>1768688891.75</v>
      </c>
      <c r="E58" s="2">
        <v>144091370.61000001</v>
      </c>
      <c r="F58" s="2">
        <v>47887095.310000002</v>
      </c>
      <c r="G58" s="2">
        <v>108830431.89</v>
      </c>
    </row>
    <row r="59" spans="1:7" x14ac:dyDescent="0.25">
      <c r="A59" s="1">
        <v>44927</v>
      </c>
      <c r="B59" t="s">
        <v>37</v>
      </c>
      <c r="C59" t="s">
        <v>90</v>
      </c>
      <c r="D59" s="2">
        <v>757281648.95000005</v>
      </c>
      <c r="E59" s="2">
        <v>60356769.600000001</v>
      </c>
      <c r="F59" s="2">
        <v>18106915.010000002</v>
      </c>
      <c r="G59" s="2">
        <v>54625622.039999999</v>
      </c>
    </row>
    <row r="60" spans="1:7" x14ac:dyDescent="0.25">
      <c r="A60" s="1">
        <v>44927</v>
      </c>
      <c r="B60" t="s">
        <v>37</v>
      </c>
      <c r="C60" t="s">
        <v>91</v>
      </c>
      <c r="D60" s="2">
        <v>591702496.98000002</v>
      </c>
      <c r="E60" s="2">
        <v>70389157.329999998</v>
      </c>
      <c r="F60" s="2">
        <v>21344672.050000001</v>
      </c>
      <c r="G60" s="2">
        <v>62959551.57</v>
      </c>
    </row>
    <row r="61" spans="1:7" x14ac:dyDescent="0.25">
      <c r="A61" s="1">
        <v>44927</v>
      </c>
      <c r="B61" t="s">
        <v>37</v>
      </c>
      <c r="C61" t="s">
        <v>92</v>
      </c>
      <c r="D61" s="2">
        <v>268052177.03</v>
      </c>
      <c r="E61" s="2">
        <v>20873137.75</v>
      </c>
      <c r="F61" s="2">
        <v>6957213.7599999998</v>
      </c>
      <c r="G61" s="2">
        <v>18805815.899999999</v>
      </c>
    </row>
    <row r="62" spans="1:7" x14ac:dyDescent="0.25">
      <c r="A62" s="1">
        <v>44927</v>
      </c>
      <c r="B62" t="s">
        <v>37</v>
      </c>
      <c r="C62" t="s">
        <v>93</v>
      </c>
      <c r="D62" s="2">
        <v>133329928.61</v>
      </c>
      <c r="E62" s="2">
        <v>13415990.470000001</v>
      </c>
      <c r="F62" s="2">
        <v>3289657.11</v>
      </c>
      <c r="G62" s="2">
        <v>10726262.609999999</v>
      </c>
    </row>
    <row r="63" spans="1:7" x14ac:dyDescent="0.25">
      <c r="A63" s="1">
        <v>44927</v>
      </c>
      <c r="B63" t="s">
        <v>37</v>
      </c>
      <c r="C63" t="s">
        <v>94</v>
      </c>
      <c r="D63" s="2">
        <v>641011297.86000001</v>
      </c>
      <c r="E63" s="2">
        <v>65990527.32</v>
      </c>
      <c r="F63" s="2">
        <v>20778215.010000002</v>
      </c>
      <c r="G63" s="2">
        <v>57523647.719999999</v>
      </c>
    </row>
    <row r="64" spans="1:7" x14ac:dyDescent="0.25">
      <c r="A64" s="1">
        <v>44927</v>
      </c>
      <c r="B64" t="s">
        <v>37</v>
      </c>
      <c r="C64" t="s">
        <v>95</v>
      </c>
      <c r="D64" s="2">
        <v>75056320.579999998</v>
      </c>
      <c r="E64" s="2">
        <v>21834485.670000002</v>
      </c>
      <c r="F64" s="2">
        <v>7033591.0800000001</v>
      </c>
      <c r="G64" s="2">
        <v>19853825.52</v>
      </c>
    </row>
    <row r="65" spans="1:7" x14ac:dyDescent="0.25">
      <c r="A65" s="1">
        <v>44927</v>
      </c>
      <c r="B65" t="s">
        <v>37</v>
      </c>
      <c r="C65" t="s">
        <v>96</v>
      </c>
      <c r="D65" s="2">
        <v>534949893.00999999</v>
      </c>
      <c r="E65" s="2">
        <v>62326905.780000001</v>
      </c>
      <c r="F65" s="2">
        <v>22334188.120000001</v>
      </c>
      <c r="G65" s="2">
        <v>54507362.619999997</v>
      </c>
    </row>
    <row r="66" spans="1:7" x14ac:dyDescent="0.25">
      <c r="A66" s="1">
        <v>44927</v>
      </c>
      <c r="B66" t="s">
        <v>37</v>
      </c>
      <c r="C66" t="s">
        <v>97</v>
      </c>
      <c r="D66" s="2">
        <v>51940472.140000001</v>
      </c>
      <c r="E66" s="2">
        <v>51256875.170000002</v>
      </c>
      <c r="F66" s="2">
        <v>16301759.52</v>
      </c>
      <c r="G66" s="2">
        <v>40718684.229999997</v>
      </c>
    </row>
    <row r="67" spans="1:7" x14ac:dyDescent="0.25">
      <c r="A67" s="1">
        <v>44927</v>
      </c>
      <c r="B67" t="s">
        <v>37</v>
      </c>
      <c r="C67" t="s">
        <v>98</v>
      </c>
      <c r="D67" s="2">
        <v>310165468.29000002</v>
      </c>
      <c r="E67" s="2">
        <v>25449150.739999998</v>
      </c>
      <c r="F67" s="2">
        <v>8562962.75</v>
      </c>
      <c r="G67" s="2">
        <v>23915858.77</v>
      </c>
    </row>
    <row r="68" spans="1:7" x14ac:dyDescent="0.25">
      <c r="A68" s="1">
        <v>44927</v>
      </c>
      <c r="B68" t="s">
        <v>37</v>
      </c>
      <c r="C68" t="s">
        <v>99</v>
      </c>
      <c r="D68" s="2">
        <v>1384433570.3499999</v>
      </c>
      <c r="E68" s="2">
        <v>124858113.81</v>
      </c>
      <c r="F68" s="2">
        <v>39633648.380000003</v>
      </c>
      <c r="G68" s="2">
        <v>105616689.23</v>
      </c>
    </row>
    <row r="69" spans="1:7" x14ac:dyDescent="0.25">
      <c r="A69" s="1">
        <v>44927</v>
      </c>
      <c r="B69" t="s">
        <v>37</v>
      </c>
      <c r="C69" t="s">
        <v>100</v>
      </c>
      <c r="D69" s="2">
        <v>23929971.879999999</v>
      </c>
      <c r="E69" s="2">
        <v>22763156.780000001</v>
      </c>
      <c r="F69" s="2">
        <v>8270535.79</v>
      </c>
      <c r="G69" s="2">
        <v>18861666.09</v>
      </c>
    </row>
    <row r="70" spans="1:7" x14ac:dyDescent="0.25">
      <c r="A70" s="1">
        <v>44927</v>
      </c>
      <c r="B70" t="s">
        <v>37</v>
      </c>
      <c r="C70" t="s">
        <v>101</v>
      </c>
      <c r="D70" s="2">
        <v>338262445.75</v>
      </c>
      <c r="E70" s="2">
        <v>27202993.52</v>
      </c>
      <c r="F70" s="2">
        <v>8382560.3399999999</v>
      </c>
      <c r="G70" s="2">
        <v>25237193.190000001</v>
      </c>
    </row>
    <row r="71" spans="1:7" x14ac:dyDescent="0.25">
      <c r="A71" s="1">
        <v>44927</v>
      </c>
      <c r="B71" t="s">
        <v>37</v>
      </c>
      <c r="C71" t="s">
        <v>102</v>
      </c>
      <c r="D71" s="2">
        <v>190283832.46000001</v>
      </c>
      <c r="E71" s="2">
        <v>15139499.08</v>
      </c>
      <c r="F71" s="2">
        <v>4976461.41</v>
      </c>
      <c r="G71" s="2">
        <v>13122187.699999999</v>
      </c>
    </row>
    <row r="72" spans="1:7" x14ac:dyDescent="0.25">
      <c r="A72" s="1">
        <v>44927</v>
      </c>
      <c r="B72" t="s">
        <v>37</v>
      </c>
      <c r="C72" t="s">
        <v>103</v>
      </c>
      <c r="D72" s="2">
        <v>820849246.79999995</v>
      </c>
      <c r="E72" s="2">
        <v>65073815.130000003</v>
      </c>
      <c r="F72" s="2">
        <v>19082800.670000002</v>
      </c>
      <c r="G72" s="2">
        <v>72479524.739999995</v>
      </c>
    </row>
    <row r="73" spans="1:7" x14ac:dyDescent="0.25">
      <c r="A73" s="1">
        <v>44927</v>
      </c>
      <c r="B73" t="s">
        <v>37</v>
      </c>
      <c r="C73" t="s">
        <v>104</v>
      </c>
      <c r="D73" s="2">
        <v>754193868.19000006</v>
      </c>
      <c r="E73" s="2">
        <v>67165857.700000003</v>
      </c>
      <c r="F73" s="2">
        <v>21394894.710000001</v>
      </c>
      <c r="G73" s="2">
        <v>71803593.359999999</v>
      </c>
    </row>
    <row r="74" spans="1:7" x14ac:dyDescent="0.25">
      <c r="A74" s="1">
        <v>44927</v>
      </c>
      <c r="B74" t="s">
        <v>37</v>
      </c>
      <c r="C74" t="s">
        <v>105</v>
      </c>
      <c r="D74" s="2">
        <v>324546490.39999998</v>
      </c>
      <c r="E74" s="2">
        <v>29723597.289999999</v>
      </c>
      <c r="F74" s="2">
        <v>9754212.6699999999</v>
      </c>
      <c r="G74" s="2">
        <v>20394782.629999999</v>
      </c>
    </row>
    <row r="75" spans="1:7" x14ac:dyDescent="0.25">
      <c r="A75" s="1">
        <v>44927</v>
      </c>
      <c r="B75" t="s">
        <v>37</v>
      </c>
      <c r="C75" t="s">
        <v>106</v>
      </c>
      <c r="D75" s="2">
        <v>172712982.74000001</v>
      </c>
      <c r="E75" s="2">
        <v>56290105.68</v>
      </c>
      <c r="F75" s="2">
        <v>16289209.25</v>
      </c>
      <c r="G75" s="2">
        <v>60321333.719999999</v>
      </c>
    </row>
    <row r="76" spans="1:7" x14ac:dyDescent="0.25">
      <c r="A76" s="1">
        <v>44927</v>
      </c>
      <c r="B76" t="s">
        <v>37</v>
      </c>
      <c r="C76" t="s">
        <v>107</v>
      </c>
      <c r="D76" s="2">
        <v>348562132.38999999</v>
      </c>
      <c r="E76" s="2">
        <v>27161717.77</v>
      </c>
      <c r="F76" s="2">
        <v>9446338.8000000007</v>
      </c>
      <c r="G76" s="2">
        <v>31220444.629999999</v>
      </c>
    </row>
    <row r="77" spans="1:7" x14ac:dyDescent="0.25">
      <c r="A77" s="1">
        <v>44927</v>
      </c>
      <c r="B77" t="s">
        <v>37</v>
      </c>
      <c r="C77" t="s">
        <v>108</v>
      </c>
      <c r="D77" s="2">
        <v>166130997.62</v>
      </c>
      <c r="E77" s="2">
        <v>15106755.43</v>
      </c>
      <c r="F77" s="2">
        <v>5063269.62</v>
      </c>
      <c r="G77" s="2">
        <v>13183526.33</v>
      </c>
    </row>
    <row r="78" spans="1:7" x14ac:dyDescent="0.25">
      <c r="A78" s="1">
        <v>44927</v>
      </c>
      <c r="B78" t="s">
        <v>50</v>
      </c>
      <c r="C78" t="s">
        <v>109</v>
      </c>
      <c r="D78" s="2">
        <v>4413485665</v>
      </c>
      <c r="E78" s="2">
        <v>396273591.25</v>
      </c>
      <c r="F78" s="2">
        <v>396273591.25</v>
      </c>
      <c r="G78">
        <v>0</v>
      </c>
    </row>
    <row r="79" spans="1:7" x14ac:dyDescent="0.25">
      <c r="A79" s="1">
        <v>44927</v>
      </c>
      <c r="B79" t="s">
        <v>50</v>
      </c>
      <c r="C79" t="s">
        <v>110</v>
      </c>
      <c r="D79" s="2">
        <v>13240456988</v>
      </c>
      <c r="E79">
        <v>0</v>
      </c>
      <c r="F79">
        <v>0</v>
      </c>
      <c r="G79">
        <v>0</v>
      </c>
    </row>
    <row r="80" spans="1:7" x14ac:dyDescent="0.25">
      <c r="A80" s="1">
        <v>44927</v>
      </c>
      <c r="B80" t="s">
        <v>50</v>
      </c>
      <c r="C80" t="s">
        <v>111</v>
      </c>
      <c r="D80" s="2">
        <v>4413485665</v>
      </c>
      <c r="E80" s="2">
        <v>401853191.01999998</v>
      </c>
      <c r="F80" s="2">
        <v>401853191.01999998</v>
      </c>
      <c r="G80" s="2">
        <v>390693991.48000002</v>
      </c>
    </row>
    <row r="81" spans="1:7" x14ac:dyDescent="0.25">
      <c r="A81" s="1">
        <v>44927</v>
      </c>
      <c r="B81" t="s">
        <v>45</v>
      </c>
      <c r="C81" t="s">
        <v>112</v>
      </c>
      <c r="D81" s="2">
        <v>2469568342.7600002</v>
      </c>
      <c r="E81" s="2">
        <v>1078003322.46</v>
      </c>
      <c r="F81" s="2">
        <v>471797034.94999999</v>
      </c>
      <c r="G81" s="2">
        <v>251546712.84</v>
      </c>
    </row>
    <row r="82" spans="1:7" x14ac:dyDescent="0.25">
      <c r="A82" s="1">
        <v>44927</v>
      </c>
      <c r="B82" t="s">
        <v>11</v>
      </c>
      <c r="C82" t="s">
        <v>113</v>
      </c>
      <c r="D82" s="2">
        <v>14963.7</v>
      </c>
      <c r="E82" s="2">
        <v>13477.66</v>
      </c>
      <c r="F82" s="2">
        <v>13477.66</v>
      </c>
      <c r="G82" s="2">
        <v>399319.29</v>
      </c>
    </row>
    <row r="83" spans="1:7" x14ac:dyDescent="0.25">
      <c r="A83" s="1">
        <v>44927</v>
      </c>
      <c r="B83" t="s">
        <v>80</v>
      </c>
      <c r="C83" t="s">
        <v>114</v>
      </c>
      <c r="D83" s="2">
        <v>2688546582.04</v>
      </c>
      <c r="E83" s="2">
        <v>2688546582.04</v>
      </c>
      <c r="F83" s="2">
        <v>2688546582.04</v>
      </c>
      <c r="G83" s="2">
        <v>3190492728.3800001</v>
      </c>
    </row>
    <row r="84" spans="1:7" x14ac:dyDescent="0.25">
      <c r="A84" s="1">
        <v>44927</v>
      </c>
      <c r="B84" t="s">
        <v>45</v>
      </c>
      <c r="C84" t="s">
        <v>115</v>
      </c>
      <c r="D84" s="2">
        <v>18595572.66</v>
      </c>
      <c r="E84" s="2">
        <v>18595572.66</v>
      </c>
      <c r="F84" s="2">
        <v>6561085.8300000001</v>
      </c>
      <c r="G84">
        <v>0</v>
      </c>
    </row>
    <row r="85" spans="1:7" x14ac:dyDescent="0.25">
      <c r="A85" s="1">
        <v>44927</v>
      </c>
      <c r="B85" t="s">
        <v>63</v>
      </c>
      <c r="C85" t="s">
        <v>116</v>
      </c>
      <c r="D85">
        <v>0</v>
      </c>
      <c r="E85">
        <v>0</v>
      </c>
      <c r="F85">
        <v>0</v>
      </c>
      <c r="G85" s="2">
        <v>48559772.479999997</v>
      </c>
    </row>
    <row r="86" spans="1:7" x14ac:dyDescent="0.25">
      <c r="A86" s="1">
        <v>44927</v>
      </c>
      <c r="B86" t="s">
        <v>31</v>
      </c>
      <c r="C86" t="s">
        <v>117</v>
      </c>
      <c r="D86">
        <v>0</v>
      </c>
      <c r="E86">
        <v>0</v>
      </c>
      <c r="F86">
        <v>0</v>
      </c>
      <c r="G86" s="2">
        <v>2510571.42</v>
      </c>
    </row>
    <row r="87" spans="1:7" x14ac:dyDescent="0.25">
      <c r="A87" s="1">
        <v>44927</v>
      </c>
      <c r="B87" t="s">
        <v>50</v>
      </c>
      <c r="C87" t="s">
        <v>119</v>
      </c>
      <c r="D87">
        <v>0</v>
      </c>
      <c r="E87">
        <v>0</v>
      </c>
      <c r="F87">
        <v>0</v>
      </c>
      <c r="G87" s="2">
        <v>4124619.91</v>
      </c>
    </row>
    <row r="88" spans="1:7" x14ac:dyDescent="0.25">
      <c r="A88" s="1">
        <v>44927</v>
      </c>
      <c r="B88" t="s">
        <v>45</v>
      </c>
      <c r="C88" t="s">
        <v>120</v>
      </c>
      <c r="D88" s="2">
        <v>861843.62</v>
      </c>
      <c r="E88" s="2">
        <v>430921.81</v>
      </c>
      <c r="F88">
        <v>0</v>
      </c>
      <c r="G88" s="2">
        <v>399163.97</v>
      </c>
    </row>
    <row r="89" spans="1:7" x14ac:dyDescent="0.25">
      <c r="A89" s="1">
        <v>44927</v>
      </c>
      <c r="B89" t="s">
        <v>45</v>
      </c>
      <c r="C89" t="s">
        <v>121</v>
      </c>
      <c r="D89">
        <v>0</v>
      </c>
      <c r="E89">
        <v>0</v>
      </c>
      <c r="F89">
        <v>0</v>
      </c>
      <c r="G89" s="2">
        <v>19010052.09</v>
      </c>
    </row>
    <row r="90" spans="1:7" x14ac:dyDescent="0.25">
      <c r="A90" s="1">
        <v>44927</v>
      </c>
      <c r="B90" t="s">
        <v>61</v>
      </c>
      <c r="C90" t="s">
        <v>122</v>
      </c>
      <c r="D90" s="2">
        <v>1665561.63</v>
      </c>
      <c r="E90" s="2">
        <v>1143077.6000000001</v>
      </c>
      <c r="F90" s="2">
        <v>369324.51</v>
      </c>
      <c r="G90" s="2">
        <v>4834999.47</v>
      </c>
    </row>
    <row r="91" spans="1:7" x14ac:dyDescent="0.25">
      <c r="A91" s="1">
        <v>44927</v>
      </c>
      <c r="B91" t="s">
        <v>53</v>
      </c>
      <c r="C91" t="s">
        <v>123</v>
      </c>
      <c r="D91">
        <v>0</v>
      </c>
      <c r="E91">
        <v>0</v>
      </c>
      <c r="F91">
        <v>0</v>
      </c>
      <c r="G91" s="2">
        <v>4982279.03</v>
      </c>
    </row>
    <row r="92" spans="1:7" x14ac:dyDescent="0.25">
      <c r="A92" s="1">
        <v>44927</v>
      </c>
      <c r="B92" t="s">
        <v>29</v>
      </c>
      <c r="C92" t="s">
        <v>124</v>
      </c>
      <c r="D92" s="2">
        <v>253304153.44999999</v>
      </c>
      <c r="E92" s="2">
        <v>41151577.619999997</v>
      </c>
      <c r="F92" s="2">
        <v>16874772.460000001</v>
      </c>
      <c r="G92" s="2">
        <v>57985171.630000003</v>
      </c>
    </row>
    <row r="93" spans="1:7" x14ac:dyDescent="0.25">
      <c r="A93" s="1">
        <v>44927</v>
      </c>
      <c r="B93" t="s">
        <v>125</v>
      </c>
      <c r="C93" t="s">
        <v>126</v>
      </c>
      <c r="D93" s="2">
        <v>369588411200</v>
      </c>
      <c r="E93" s="2">
        <v>63567262803.449997</v>
      </c>
      <c r="F93" s="2">
        <v>13754852577.74</v>
      </c>
      <c r="G93" s="2">
        <v>47982836379.339996</v>
      </c>
    </row>
    <row r="94" spans="1:7" x14ac:dyDescent="0.25">
      <c r="A94" s="1">
        <v>44927</v>
      </c>
      <c r="B94" t="s">
        <v>31</v>
      </c>
      <c r="C94" t="s">
        <v>129</v>
      </c>
      <c r="D94" s="2">
        <v>90000</v>
      </c>
      <c r="E94">
        <v>0</v>
      </c>
      <c r="F94">
        <v>0</v>
      </c>
      <c r="G94" s="2">
        <v>27660</v>
      </c>
    </row>
    <row r="95" spans="1:7" x14ac:dyDescent="0.25">
      <c r="A95" s="1">
        <v>44927</v>
      </c>
      <c r="B95" t="s">
        <v>130</v>
      </c>
      <c r="C95" t="s">
        <v>131</v>
      </c>
      <c r="D95">
        <v>0</v>
      </c>
      <c r="E95">
        <v>0</v>
      </c>
      <c r="F95">
        <v>0</v>
      </c>
      <c r="G95" s="2">
        <v>2662229.2799999998</v>
      </c>
    </row>
    <row r="96" spans="1:7" x14ac:dyDescent="0.25">
      <c r="A96" s="1">
        <v>44927</v>
      </c>
      <c r="B96" t="s">
        <v>9</v>
      </c>
      <c r="C96" t="s">
        <v>135</v>
      </c>
      <c r="D96" s="2">
        <v>146642903.09999999</v>
      </c>
      <c r="E96" s="2">
        <v>133534934.26000001</v>
      </c>
      <c r="F96" s="2">
        <v>92461209.609999999</v>
      </c>
      <c r="G96" s="2">
        <v>52367238.310000002</v>
      </c>
    </row>
    <row r="97" spans="1:7" x14ac:dyDescent="0.25">
      <c r="A97" s="1">
        <v>44927</v>
      </c>
      <c r="B97" t="s">
        <v>37</v>
      </c>
      <c r="C97" t="s">
        <v>136</v>
      </c>
      <c r="D97" s="2">
        <v>43433051493.790001</v>
      </c>
      <c r="E97" s="2">
        <v>2263745239.8800001</v>
      </c>
      <c r="F97" s="2">
        <v>2254492293.3400002</v>
      </c>
      <c r="G97" s="2">
        <v>7455209141.7200003</v>
      </c>
    </row>
    <row r="98" spans="1:7" x14ac:dyDescent="0.25">
      <c r="A98" s="1">
        <v>44927</v>
      </c>
      <c r="B98" t="s">
        <v>31</v>
      </c>
      <c r="C98" t="s">
        <v>138</v>
      </c>
      <c r="D98" s="2">
        <v>147101981.87</v>
      </c>
      <c r="E98" s="2">
        <v>21246911.649999999</v>
      </c>
      <c r="F98" s="2">
        <v>21075577.920000002</v>
      </c>
      <c r="G98" s="2">
        <v>12509066.02</v>
      </c>
    </row>
    <row r="99" spans="1:7" x14ac:dyDescent="0.25">
      <c r="A99" s="1">
        <v>44927</v>
      </c>
      <c r="B99" t="s">
        <v>31</v>
      </c>
      <c r="C99" t="s">
        <v>143</v>
      </c>
      <c r="D99" s="2">
        <v>55552312.259999998</v>
      </c>
      <c r="E99" s="2">
        <v>2056506.16</v>
      </c>
      <c r="F99" s="2">
        <v>1914705.15</v>
      </c>
      <c r="G99" s="2">
        <v>98898018.120000005</v>
      </c>
    </row>
    <row r="100" spans="1:7" x14ac:dyDescent="0.25">
      <c r="A100" s="1">
        <v>44927</v>
      </c>
      <c r="B100" t="s">
        <v>61</v>
      </c>
      <c r="C100" t="s">
        <v>144</v>
      </c>
      <c r="D100" s="2">
        <v>12049112.26</v>
      </c>
      <c r="E100" s="2">
        <v>990249.01</v>
      </c>
      <c r="F100" s="2">
        <v>217603.88</v>
      </c>
      <c r="G100" s="2">
        <v>778688.88</v>
      </c>
    </row>
    <row r="101" spans="1:7" x14ac:dyDescent="0.25">
      <c r="A101" s="1">
        <v>44927</v>
      </c>
      <c r="B101" t="s">
        <v>37</v>
      </c>
      <c r="C101" t="s">
        <v>145</v>
      </c>
      <c r="D101" s="2">
        <v>158980506.66999999</v>
      </c>
      <c r="E101" s="2">
        <v>145490034.74000001</v>
      </c>
      <c r="F101" s="2">
        <v>25784084.239999998</v>
      </c>
      <c r="G101" s="2">
        <v>127322782.77</v>
      </c>
    </row>
    <row r="102" spans="1:7" x14ac:dyDescent="0.25">
      <c r="A102" s="1">
        <v>44927</v>
      </c>
      <c r="B102" t="s">
        <v>16</v>
      </c>
      <c r="C102" t="s">
        <v>146</v>
      </c>
      <c r="D102" s="2">
        <v>174240828.28</v>
      </c>
      <c r="E102" s="2">
        <v>124375877.75</v>
      </c>
      <c r="F102" s="2">
        <v>108826043.79000001</v>
      </c>
      <c r="G102" s="2">
        <v>30861231.050000001</v>
      </c>
    </row>
    <row r="103" spans="1:7" x14ac:dyDescent="0.25">
      <c r="A103" s="1">
        <v>44927</v>
      </c>
      <c r="B103" t="s">
        <v>29</v>
      </c>
      <c r="C103" t="s">
        <v>147</v>
      </c>
      <c r="D103" s="2">
        <v>157453038.13999999</v>
      </c>
      <c r="E103" s="2">
        <v>11320858.289999999</v>
      </c>
      <c r="F103" s="2">
        <v>1632154.08</v>
      </c>
      <c r="G103" s="2">
        <v>17640814.289999999</v>
      </c>
    </row>
    <row r="104" spans="1:7" x14ac:dyDescent="0.25">
      <c r="A104" s="1">
        <v>44927</v>
      </c>
      <c r="B104" t="s">
        <v>24</v>
      </c>
      <c r="C104" t="s">
        <v>148</v>
      </c>
      <c r="D104" s="2">
        <v>22366612.43</v>
      </c>
      <c r="E104" s="2">
        <v>6223275.4000000004</v>
      </c>
      <c r="F104" s="2">
        <v>1414736.92</v>
      </c>
      <c r="G104" s="2">
        <v>10724537.880000001</v>
      </c>
    </row>
    <row r="105" spans="1:7" x14ac:dyDescent="0.25">
      <c r="A105" s="1">
        <v>44927</v>
      </c>
      <c r="B105" t="s">
        <v>22</v>
      </c>
      <c r="C105" t="s">
        <v>149</v>
      </c>
      <c r="D105" s="2">
        <v>1184241249.0799999</v>
      </c>
      <c r="E105" s="2">
        <v>92309642.150000006</v>
      </c>
      <c r="F105" s="2">
        <v>23369938.66</v>
      </c>
      <c r="G105" s="2">
        <v>90697330.239999995</v>
      </c>
    </row>
    <row r="106" spans="1:7" x14ac:dyDescent="0.25">
      <c r="A106" s="1">
        <v>44927</v>
      </c>
      <c r="B106" t="s">
        <v>22</v>
      </c>
      <c r="C106" t="s">
        <v>150</v>
      </c>
      <c r="D106" s="2">
        <v>120211557.26000001</v>
      </c>
      <c r="E106" s="2">
        <v>41023409.759999998</v>
      </c>
      <c r="F106" s="2">
        <v>10684272.550000001</v>
      </c>
      <c r="G106" s="2">
        <v>49629705.880000003</v>
      </c>
    </row>
    <row r="107" spans="1:7" x14ac:dyDescent="0.25">
      <c r="A107" s="1">
        <v>44927</v>
      </c>
      <c r="B107" t="s">
        <v>77</v>
      </c>
      <c r="C107" t="s">
        <v>151</v>
      </c>
      <c r="D107" s="2">
        <v>383919571.18000001</v>
      </c>
      <c r="E107" s="2">
        <v>26241858.32</v>
      </c>
      <c r="F107" s="2">
        <v>7616625.1799999997</v>
      </c>
      <c r="G107" s="2">
        <v>22128983.02</v>
      </c>
    </row>
    <row r="108" spans="1:7" x14ac:dyDescent="0.25">
      <c r="A108" s="1">
        <v>44927</v>
      </c>
      <c r="B108" t="s">
        <v>22</v>
      </c>
      <c r="C108" t="s">
        <v>152</v>
      </c>
      <c r="D108" s="2">
        <v>50761881.659999996</v>
      </c>
      <c r="E108" s="2">
        <v>4617778.12</v>
      </c>
      <c r="F108" s="2">
        <v>1399917.66</v>
      </c>
      <c r="G108" s="2">
        <v>3515831.56</v>
      </c>
    </row>
    <row r="109" spans="1:7" x14ac:dyDescent="0.25">
      <c r="A109" s="1">
        <v>44927</v>
      </c>
      <c r="B109" t="s">
        <v>24</v>
      </c>
      <c r="C109" t="s">
        <v>153</v>
      </c>
      <c r="D109" s="2">
        <v>17142818.719999999</v>
      </c>
      <c r="E109" s="2">
        <v>16612815.57</v>
      </c>
      <c r="F109" s="2">
        <v>3356377.81</v>
      </c>
      <c r="G109" s="2">
        <v>21570038.48</v>
      </c>
    </row>
    <row r="110" spans="1:7" x14ac:dyDescent="0.25">
      <c r="A110" s="1">
        <v>44927</v>
      </c>
      <c r="B110" t="s">
        <v>37</v>
      </c>
      <c r="C110" t="s">
        <v>154</v>
      </c>
      <c r="D110" s="2">
        <v>291406678.07999998</v>
      </c>
      <c r="E110" s="2">
        <v>24980859.52</v>
      </c>
      <c r="F110" s="2">
        <v>8422452.0299999993</v>
      </c>
      <c r="G110" s="2">
        <v>26320469.649999999</v>
      </c>
    </row>
    <row r="111" spans="1:7" x14ac:dyDescent="0.25">
      <c r="A111" s="1">
        <v>44927</v>
      </c>
      <c r="B111" t="s">
        <v>37</v>
      </c>
      <c r="C111" t="s">
        <v>155</v>
      </c>
      <c r="D111" s="2">
        <v>368600280.82999998</v>
      </c>
      <c r="E111" s="2">
        <v>27695913.719999999</v>
      </c>
      <c r="F111" s="2">
        <v>9471676.6099999994</v>
      </c>
      <c r="G111" s="2">
        <v>29256107.120000001</v>
      </c>
    </row>
    <row r="112" spans="1:7" x14ac:dyDescent="0.25">
      <c r="A112" s="1">
        <v>44927</v>
      </c>
      <c r="B112" t="s">
        <v>37</v>
      </c>
      <c r="C112" t="s">
        <v>156</v>
      </c>
      <c r="D112" s="2">
        <v>588457629.16999996</v>
      </c>
      <c r="E112" s="2">
        <v>45289997.579999998</v>
      </c>
      <c r="F112" s="2">
        <v>14838021.279999999</v>
      </c>
      <c r="G112" s="2">
        <v>49406407.159999996</v>
      </c>
    </row>
    <row r="113" spans="1:7" x14ac:dyDescent="0.25">
      <c r="A113" s="1">
        <v>44927</v>
      </c>
      <c r="B113" t="s">
        <v>37</v>
      </c>
      <c r="C113" t="s">
        <v>157</v>
      </c>
      <c r="D113" s="2">
        <v>130833049.8</v>
      </c>
      <c r="E113" s="2">
        <v>43056203.909999996</v>
      </c>
      <c r="F113" s="2">
        <v>14258463.57</v>
      </c>
      <c r="G113" s="2">
        <v>46782993.509999998</v>
      </c>
    </row>
    <row r="114" spans="1:7" x14ac:dyDescent="0.25">
      <c r="A114" s="1">
        <v>44927</v>
      </c>
      <c r="B114" t="s">
        <v>37</v>
      </c>
      <c r="C114" t="s">
        <v>158</v>
      </c>
      <c r="D114" s="2">
        <v>356077355.20999998</v>
      </c>
      <c r="E114" s="2">
        <v>27360352.609999999</v>
      </c>
      <c r="F114" s="2">
        <v>9606723.5</v>
      </c>
      <c r="G114" s="2">
        <v>32690533.199999999</v>
      </c>
    </row>
    <row r="115" spans="1:7" x14ac:dyDescent="0.25">
      <c r="A115" s="1">
        <v>44927</v>
      </c>
      <c r="B115" t="s">
        <v>37</v>
      </c>
      <c r="C115" t="s">
        <v>159</v>
      </c>
      <c r="D115" s="2">
        <v>24049697.530000001</v>
      </c>
      <c r="E115" s="2">
        <v>21763274.25</v>
      </c>
      <c r="F115" s="2">
        <v>6685711.0199999996</v>
      </c>
      <c r="G115" s="2">
        <v>15153510.199999999</v>
      </c>
    </row>
    <row r="116" spans="1:7" x14ac:dyDescent="0.25">
      <c r="A116" s="1">
        <v>44927</v>
      </c>
      <c r="B116" t="s">
        <v>37</v>
      </c>
      <c r="C116" t="s">
        <v>160</v>
      </c>
      <c r="D116" s="2">
        <v>434493261.01999998</v>
      </c>
      <c r="E116" s="2">
        <v>35989808.079999998</v>
      </c>
      <c r="F116" s="2">
        <v>11783589.300000001</v>
      </c>
      <c r="G116" s="2">
        <v>39693092.939999998</v>
      </c>
    </row>
    <row r="117" spans="1:7" x14ac:dyDescent="0.25">
      <c r="A117" s="1">
        <v>44927</v>
      </c>
      <c r="B117" t="s">
        <v>37</v>
      </c>
      <c r="C117" t="s">
        <v>161</v>
      </c>
      <c r="D117" s="2">
        <v>431474263.14999998</v>
      </c>
      <c r="E117" s="2">
        <v>33316662.460000001</v>
      </c>
      <c r="F117" s="2">
        <v>10443546.26</v>
      </c>
      <c r="G117" s="2">
        <v>33932740.090000004</v>
      </c>
    </row>
    <row r="118" spans="1:7" x14ac:dyDescent="0.25">
      <c r="A118" s="1">
        <v>44927</v>
      </c>
      <c r="B118" t="s">
        <v>37</v>
      </c>
      <c r="C118" t="s">
        <v>162</v>
      </c>
      <c r="D118" s="2">
        <v>544182642.61000001</v>
      </c>
      <c r="E118" s="2">
        <v>43170337.049999997</v>
      </c>
      <c r="F118" s="2">
        <v>13624765.630000001</v>
      </c>
      <c r="G118" s="2">
        <v>48133928.789999999</v>
      </c>
    </row>
    <row r="119" spans="1:7" x14ac:dyDescent="0.25">
      <c r="A119" s="1">
        <v>44927</v>
      </c>
      <c r="B119" t="s">
        <v>37</v>
      </c>
      <c r="C119" t="s">
        <v>163</v>
      </c>
      <c r="D119" s="2">
        <v>200555524.71000001</v>
      </c>
      <c r="E119" s="2">
        <v>15878334.189999999</v>
      </c>
      <c r="F119" s="2">
        <v>5297873.96</v>
      </c>
      <c r="G119" s="2">
        <v>20595848.890000001</v>
      </c>
    </row>
    <row r="120" spans="1:7" x14ac:dyDescent="0.25">
      <c r="A120" s="1">
        <v>44927</v>
      </c>
      <c r="B120" t="s">
        <v>37</v>
      </c>
      <c r="C120" t="s">
        <v>164</v>
      </c>
      <c r="D120" s="2">
        <v>23200794.199999999</v>
      </c>
      <c r="E120" s="2">
        <v>10107979.68</v>
      </c>
      <c r="F120" s="2">
        <v>3223540.01</v>
      </c>
      <c r="G120" s="2">
        <v>10395908.720000001</v>
      </c>
    </row>
    <row r="121" spans="1:7" x14ac:dyDescent="0.25">
      <c r="A121" s="1">
        <v>44927</v>
      </c>
      <c r="B121" t="s">
        <v>37</v>
      </c>
      <c r="C121" t="s">
        <v>165</v>
      </c>
      <c r="D121" s="2">
        <v>300112547.04000002</v>
      </c>
      <c r="E121" s="2">
        <v>44747120.079999998</v>
      </c>
      <c r="F121" s="2">
        <v>14677969.779999999</v>
      </c>
      <c r="G121" s="2">
        <v>51849538.68</v>
      </c>
    </row>
    <row r="122" spans="1:7" x14ac:dyDescent="0.25">
      <c r="A122" s="1">
        <v>44927</v>
      </c>
      <c r="B122" t="s">
        <v>37</v>
      </c>
      <c r="C122" t="s">
        <v>166</v>
      </c>
      <c r="D122" s="2">
        <v>23313412.399999999</v>
      </c>
      <c r="E122" s="2">
        <v>21242832.600000001</v>
      </c>
      <c r="F122" s="2">
        <v>6682181.8600000003</v>
      </c>
      <c r="G122" s="2">
        <v>22853632.329999998</v>
      </c>
    </row>
    <row r="123" spans="1:7" x14ac:dyDescent="0.25">
      <c r="A123" s="1">
        <v>44927</v>
      </c>
      <c r="B123" t="s">
        <v>37</v>
      </c>
      <c r="C123" t="s">
        <v>167</v>
      </c>
      <c r="D123" s="2">
        <v>968322140.27999997</v>
      </c>
      <c r="E123" s="2">
        <v>72581829.659999996</v>
      </c>
      <c r="F123" s="2">
        <v>23892668.149999999</v>
      </c>
      <c r="G123" s="2">
        <v>75535105.409999996</v>
      </c>
    </row>
    <row r="124" spans="1:7" x14ac:dyDescent="0.25">
      <c r="A124" s="1">
        <v>44927</v>
      </c>
      <c r="B124" t="s">
        <v>37</v>
      </c>
      <c r="C124" t="s">
        <v>168</v>
      </c>
      <c r="D124" s="2">
        <v>11057834.119999999</v>
      </c>
      <c r="E124" s="2">
        <v>9207623.4000000004</v>
      </c>
      <c r="F124" s="2">
        <v>3060811.9</v>
      </c>
      <c r="G124" s="2">
        <v>9694771.4399999995</v>
      </c>
    </row>
    <row r="125" spans="1:7" x14ac:dyDescent="0.25">
      <c r="A125" s="1">
        <v>44927</v>
      </c>
      <c r="B125" t="s">
        <v>37</v>
      </c>
      <c r="C125" t="s">
        <v>169</v>
      </c>
      <c r="D125" s="2">
        <v>93998577.799999997</v>
      </c>
      <c r="E125" s="2">
        <v>7346193.1399999997</v>
      </c>
      <c r="F125" s="2">
        <v>2327825.7000000002</v>
      </c>
      <c r="G125" s="2">
        <v>7830816.5800000001</v>
      </c>
    </row>
    <row r="126" spans="1:7" x14ac:dyDescent="0.25">
      <c r="A126" s="1">
        <v>44927</v>
      </c>
      <c r="B126" t="s">
        <v>37</v>
      </c>
      <c r="C126" t="s">
        <v>170</v>
      </c>
      <c r="D126" s="2">
        <v>352691560.33999997</v>
      </c>
      <c r="E126" s="2">
        <v>27592783.649999999</v>
      </c>
      <c r="F126" s="2">
        <v>8483459.2599999998</v>
      </c>
      <c r="G126" s="2">
        <v>30313904.32</v>
      </c>
    </row>
    <row r="127" spans="1:7" x14ac:dyDescent="0.25">
      <c r="A127" s="1">
        <v>44927</v>
      </c>
      <c r="B127" t="s">
        <v>37</v>
      </c>
      <c r="C127" t="s">
        <v>171</v>
      </c>
      <c r="D127" s="2">
        <v>743938515.89999998</v>
      </c>
      <c r="E127" s="2">
        <v>57653123.43</v>
      </c>
      <c r="F127" s="2">
        <v>19297736.690000001</v>
      </c>
      <c r="G127" s="2">
        <v>63453238.469999999</v>
      </c>
    </row>
    <row r="128" spans="1:7" x14ac:dyDescent="0.25">
      <c r="A128" s="1">
        <v>44927</v>
      </c>
      <c r="B128" t="s">
        <v>37</v>
      </c>
      <c r="C128" t="s">
        <v>172</v>
      </c>
      <c r="D128" s="2">
        <v>193453792.28</v>
      </c>
      <c r="E128" s="2">
        <v>53059204.469999999</v>
      </c>
      <c r="F128" s="2">
        <v>17311308.260000002</v>
      </c>
      <c r="G128" s="2">
        <v>57111252.950000003</v>
      </c>
    </row>
    <row r="129" spans="1:7" x14ac:dyDescent="0.25">
      <c r="A129" s="1">
        <v>44927</v>
      </c>
      <c r="B129" t="s">
        <v>37</v>
      </c>
      <c r="C129" t="s">
        <v>173</v>
      </c>
      <c r="D129" s="2">
        <v>613247352.84000003</v>
      </c>
      <c r="E129" s="2">
        <v>47970053.810000002</v>
      </c>
      <c r="F129" s="2">
        <v>15994881.189999999</v>
      </c>
      <c r="G129" s="2">
        <v>52559133.689999998</v>
      </c>
    </row>
    <row r="130" spans="1:7" x14ac:dyDescent="0.25">
      <c r="A130" s="1">
        <v>44927</v>
      </c>
      <c r="B130" t="s">
        <v>37</v>
      </c>
      <c r="C130" t="s">
        <v>174</v>
      </c>
      <c r="D130" s="2">
        <v>432620235.35000002</v>
      </c>
      <c r="E130" s="2">
        <v>33991881.75</v>
      </c>
      <c r="F130" s="2">
        <v>11183316.16</v>
      </c>
      <c r="G130" s="2">
        <v>35128034.090000004</v>
      </c>
    </row>
    <row r="131" spans="1:7" x14ac:dyDescent="0.25">
      <c r="A131" s="1">
        <v>44927</v>
      </c>
      <c r="B131" t="s">
        <v>37</v>
      </c>
      <c r="C131" t="s">
        <v>175</v>
      </c>
      <c r="D131" s="2">
        <v>16092352.529999999</v>
      </c>
      <c r="E131" s="2">
        <v>15327284.83</v>
      </c>
      <c r="F131" s="2">
        <v>5055466.3899999997</v>
      </c>
      <c r="G131" s="2">
        <v>15131901.439999999</v>
      </c>
    </row>
    <row r="132" spans="1:7" x14ac:dyDescent="0.25">
      <c r="A132" s="1">
        <v>44927</v>
      </c>
      <c r="B132" t="s">
        <v>37</v>
      </c>
      <c r="C132" t="s">
        <v>176</v>
      </c>
      <c r="D132" s="2">
        <v>239676542.50999999</v>
      </c>
      <c r="E132" s="2">
        <v>20486500.420000002</v>
      </c>
      <c r="F132" s="2">
        <v>6469444.75</v>
      </c>
      <c r="G132" s="2">
        <v>21603243.579999998</v>
      </c>
    </row>
    <row r="133" spans="1:7" x14ac:dyDescent="0.25">
      <c r="A133" s="1">
        <v>44927</v>
      </c>
      <c r="B133" t="s">
        <v>37</v>
      </c>
      <c r="C133" t="s">
        <v>177</v>
      </c>
      <c r="D133" s="2">
        <v>38131693</v>
      </c>
      <c r="E133" s="2">
        <v>33757492.689999998</v>
      </c>
      <c r="F133" s="2">
        <v>11507957.73</v>
      </c>
      <c r="G133" s="2">
        <v>31228030.43</v>
      </c>
    </row>
    <row r="134" spans="1:7" x14ac:dyDescent="0.25">
      <c r="A134" s="1">
        <v>44927</v>
      </c>
      <c r="B134" t="s">
        <v>37</v>
      </c>
      <c r="C134" t="s">
        <v>178</v>
      </c>
      <c r="D134" s="2">
        <v>473977948.14999998</v>
      </c>
      <c r="E134" s="2">
        <v>37777020.710000001</v>
      </c>
      <c r="F134" s="2">
        <v>12305921.689999999</v>
      </c>
      <c r="G134" s="2">
        <v>38419281.270000003</v>
      </c>
    </row>
    <row r="135" spans="1:7" x14ac:dyDescent="0.25">
      <c r="A135" s="1">
        <v>44927</v>
      </c>
      <c r="B135" t="s">
        <v>37</v>
      </c>
      <c r="C135" t="s">
        <v>179</v>
      </c>
      <c r="D135" s="2">
        <v>458265776.44</v>
      </c>
      <c r="E135" s="2">
        <v>35683268.630000003</v>
      </c>
      <c r="F135" s="2">
        <v>11648206.02</v>
      </c>
      <c r="G135" s="2">
        <v>39390477.840000004</v>
      </c>
    </row>
    <row r="136" spans="1:7" x14ac:dyDescent="0.25">
      <c r="A136" s="1">
        <v>44927</v>
      </c>
      <c r="B136" t="s">
        <v>37</v>
      </c>
      <c r="C136" t="s">
        <v>180</v>
      </c>
      <c r="D136" s="2">
        <v>302765919.95999998</v>
      </c>
      <c r="E136" s="2">
        <v>33158183.010000002</v>
      </c>
      <c r="F136" s="2">
        <v>11202431.869999999</v>
      </c>
      <c r="G136" s="2">
        <v>35526819.380000003</v>
      </c>
    </row>
    <row r="137" spans="1:7" x14ac:dyDescent="0.25">
      <c r="A137" s="1">
        <v>44927</v>
      </c>
      <c r="B137" t="s">
        <v>37</v>
      </c>
      <c r="C137" t="s">
        <v>181</v>
      </c>
      <c r="D137" s="2">
        <v>622973993.88</v>
      </c>
      <c r="E137" s="2">
        <v>48288964.539999999</v>
      </c>
      <c r="F137" s="2">
        <v>15860302.609999999</v>
      </c>
      <c r="G137" s="2">
        <v>56642995.869999997</v>
      </c>
    </row>
    <row r="138" spans="1:7" x14ac:dyDescent="0.25">
      <c r="A138" s="1">
        <v>44927</v>
      </c>
      <c r="B138" t="s">
        <v>37</v>
      </c>
      <c r="C138" t="s">
        <v>182</v>
      </c>
      <c r="D138" s="2">
        <v>142668594.93000001</v>
      </c>
      <c r="E138" s="2">
        <v>36925072.75</v>
      </c>
      <c r="F138" s="2">
        <v>12062073.960000001</v>
      </c>
      <c r="G138" s="2">
        <v>35917911.520000003</v>
      </c>
    </row>
    <row r="139" spans="1:7" x14ac:dyDescent="0.25">
      <c r="A139" s="1">
        <v>44927</v>
      </c>
      <c r="B139" t="s">
        <v>37</v>
      </c>
      <c r="C139" t="s">
        <v>183</v>
      </c>
      <c r="D139" s="2">
        <v>164594666.62</v>
      </c>
      <c r="E139" s="2">
        <v>14745032.02</v>
      </c>
      <c r="F139" s="2">
        <v>4805337.45</v>
      </c>
      <c r="G139" s="2">
        <v>16502318.539999999</v>
      </c>
    </row>
    <row r="140" spans="1:7" x14ac:dyDescent="0.25">
      <c r="A140" s="1">
        <v>44927</v>
      </c>
      <c r="B140" t="s">
        <v>37</v>
      </c>
      <c r="C140" t="s">
        <v>184</v>
      </c>
      <c r="D140" s="2">
        <v>293304264.92000002</v>
      </c>
      <c r="E140" s="2">
        <v>23570483.57</v>
      </c>
      <c r="F140" s="2">
        <v>7606593.71</v>
      </c>
      <c r="G140" s="2">
        <v>23194994.219999999</v>
      </c>
    </row>
    <row r="141" spans="1:7" x14ac:dyDescent="0.25">
      <c r="A141" s="1">
        <v>44927</v>
      </c>
      <c r="B141" t="s">
        <v>37</v>
      </c>
      <c r="C141" t="s">
        <v>185</v>
      </c>
      <c r="D141" s="2">
        <v>256519035.33000001</v>
      </c>
      <c r="E141" s="2">
        <v>19985800.579999998</v>
      </c>
      <c r="F141" s="2">
        <v>6319445.0499999998</v>
      </c>
      <c r="G141" s="2">
        <v>23812955.16</v>
      </c>
    </row>
    <row r="142" spans="1:7" x14ac:dyDescent="0.25">
      <c r="A142" s="1">
        <v>44927</v>
      </c>
      <c r="B142" t="s">
        <v>37</v>
      </c>
      <c r="C142" t="s">
        <v>186</v>
      </c>
      <c r="D142" s="2">
        <v>225140927.05000001</v>
      </c>
      <c r="E142" s="2">
        <v>15640182.859999999</v>
      </c>
      <c r="F142" s="2">
        <v>3667415.18</v>
      </c>
      <c r="G142" s="2">
        <v>20981270.809999999</v>
      </c>
    </row>
    <row r="143" spans="1:7" x14ac:dyDescent="0.25">
      <c r="A143" s="1">
        <v>44927</v>
      </c>
      <c r="B143" t="s">
        <v>37</v>
      </c>
      <c r="C143" t="s">
        <v>187</v>
      </c>
      <c r="D143" s="2">
        <v>251849654.81</v>
      </c>
      <c r="E143" s="2">
        <v>18795841.309999999</v>
      </c>
      <c r="F143" s="2">
        <v>6325659.5899999999</v>
      </c>
      <c r="G143" s="2">
        <v>21399568.129999999</v>
      </c>
    </row>
    <row r="144" spans="1:7" x14ac:dyDescent="0.25">
      <c r="A144" s="1">
        <v>44927</v>
      </c>
      <c r="B144" t="s">
        <v>37</v>
      </c>
      <c r="C144" t="s">
        <v>188</v>
      </c>
      <c r="D144" s="2">
        <v>73857182.260000005</v>
      </c>
      <c r="E144" s="2">
        <v>23274431.370000001</v>
      </c>
      <c r="F144" s="2">
        <v>7789419.0999999996</v>
      </c>
      <c r="G144" s="2">
        <v>26756411.640000001</v>
      </c>
    </row>
    <row r="145" spans="1:7" x14ac:dyDescent="0.25">
      <c r="A145" s="1">
        <v>44927</v>
      </c>
      <c r="B145" t="s">
        <v>37</v>
      </c>
      <c r="C145" t="s">
        <v>189</v>
      </c>
      <c r="D145" s="2">
        <v>392776348.31999999</v>
      </c>
      <c r="E145" s="2">
        <v>31459044.27</v>
      </c>
      <c r="F145" s="2">
        <v>10041345.380000001</v>
      </c>
      <c r="G145" s="2">
        <v>39791642.149999999</v>
      </c>
    </row>
    <row r="146" spans="1:7" x14ac:dyDescent="0.25">
      <c r="A146" s="1">
        <v>44927</v>
      </c>
      <c r="B146" t="s">
        <v>37</v>
      </c>
      <c r="C146" t="s">
        <v>190</v>
      </c>
      <c r="D146" s="2">
        <v>312901663.81999999</v>
      </c>
      <c r="E146" s="2">
        <v>24436951.370000001</v>
      </c>
      <c r="F146" s="2">
        <v>9033351.5</v>
      </c>
      <c r="G146" s="2">
        <v>30673855.280000001</v>
      </c>
    </row>
    <row r="147" spans="1:7" x14ac:dyDescent="0.25">
      <c r="A147" s="1">
        <v>44927</v>
      </c>
      <c r="B147" t="s">
        <v>37</v>
      </c>
      <c r="C147" t="s">
        <v>191</v>
      </c>
      <c r="D147" s="2">
        <v>113212051.72</v>
      </c>
      <c r="E147" s="2">
        <v>36047448.07</v>
      </c>
      <c r="F147" s="2">
        <v>11761609.24</v>
      </c>
      <c r="G147" s="2">
        <v>38419470.740000002</v>
      </c>
    </row>
    <row r="148" spans="1:7" x14ac:dyDescent="0.25">
      <c r="A148" s="1">
        <v>44927</v>
      </c>
      <c r="B148" t="s">
        <v>192</v>
      </c>
      <c r="C148" t="s">
        <v>193</v>
      </c>
      <c r="D148" s="2">
        <v>34641319.5</v>
      </c>
      <c r="E148" s="2">
        <v>25677649.670000002</v>
      </c>
      <c r="F148" s="2">
        <v>8863964.2200000007</v>
      </c>
      <c r="G148" s="2">
        <v>24007918.359999999</v>
      </c>
    </row>
    <row r="149" spans="1:7" x14ac:dyDescent="0.25">
      <c r="A149" s="1">
        <v>44927</v>
      </c>
      <c r="B149" t="s">
        <v>53</v>
      </c>
      <c r="C149" t="s">
        <v>194</v>
      </c>
      <c r="D149" s="2">
        <v>1201342924.5599999</v>
      </c>
      <c r="E149" s="2">
        <v>91950929.5</v>
      </c>
      <c r="F149" s="2">
        <v>19450381.879999999</v>
      </c>
      <c r="G149" s="2">
        <v>92021417.25</v>
      </c>
    </row>
    <row r="150" spans="1:7" x14ac:dyDescent="0.25">
      <c r="A150" s="1">
        <v>44927</v>
      </c>
      <c r="B150" t="s">
        <v>37</v>
      </c>
      <c r="C150" t="s">
        <v>195</v>
      </c>
      <c r="D150" s="2">
        <v>109338750.81999999</v>
      </c>
      <c r="E150" s="2">
        <v>7435659.6299999999</v>
      </c>
      <c r="F150" s="2">
        <v>2508326.75</v>
      </c>
      <c r="G150" s="2">
        <v>136406241.65000001</v>
      </c>
    </row>
    <row r="151" spans="1:7" x14ac:dyDescent="0.25">
      <c r="A151" s="1">
        <v>44927</v>
      </c>
      <c r="B151" t="s">
        <v>192</v>
      </c>
      <c r="C151" t="s">
        <v>196</v>
      </c>
      <c r="D151" s="2">
        <v>22969362.93</v>
      </c>
      <c r="E151" s="2">
        <v>22858819.329999998</v>
      </c>
      <c r="F151" s="2">
        <v>7090007.7599999998</v>
      </c>
      <c r="G151" s="2">
        <v>26015264.190000001</v>
      </c>
    </row>
    <row r="152" spans="1:7" x14ac:dyDescent="0.25">
      <c r="A152" s="1">
        <v>44927</v>
      </c>
      <c r="B152" t="s">
        <v>61</v>
      </c>
      <c r="C152" t="s">
        <v>197</v>
      </c>
      <c r="D152" s="2">
        <v>25081924.48</v>
      </c>
      <c r="E152" s="2">
        <v>290614.31</v>
      </c>
      <c r="F152" s="2">
        <v>70591.58</v>
      </c>
      <c r="G152" s="2">
        <v>2650270.5</v>
      </c>
    </row>
    <row r="153" spans="1:7" x14ac:dyDescent="0.25">
      <c r="A153" s="1">
        <v>44927</v>
      </c>
      <c r="B153" t="s">
        <v>125</v>
      </c>
      <c r="C153" t="s">
        <v>198</v>
      </c>
      <c r="D153" s="2">
        <v>92354538060.889999</v>
      </c>
      <c r="E153" s="2">
        <v>7873205879.5799999</v>
      </c>
      <c r="F153" s="2">
        <v>3629621020.8499999</v>
      </c>
      <c r="G153" s="2">
        <v>4136095104.25</v>
      </c>
    </row>
    <row r="154" spans="1:7" x14ac:dyDescent="0.25">
      <c r="A154" s="1">
        <v>44927</v>
      </c>
      <c r="B154" t="s">
        <v>63</v>
      </c>
      <c r="C154" t="s">
        <v>199</v>
      </c>
      <c r="D154" s="2">
        <v>303985175.17000002</v>
      </c>
      <c r="E154" s="2">
        <v>280801956.63999999</v>
      </c>
      <c r="F154" s="2">
        <v>63569374.600000001</v>
      </c>
      <c r="G154" s="2">
        <v>291529381.77999997</v>
      </c>
    </row>
    <row r="155" spans="1:7" x14ac:dyDescent="0.25">
      <c r="A155" s="1">
        <v>44927</v>
      </c>
      <c r="B155" t="s">
        <v>9</v>
      </c>
      <c r="C155" t="s">
        <v>200</v>
      </c>
      <c r="D155" s="2">
        <v>1904320936.9000001</v>
      </c>
      <c r="E155" s="2">
        <v>153597574.31999999</v>
      </c>
      <c r="F155" s="2">
        <v>28996001.300000001</v>
      </c>
      <c r="G155" s="2">
        <v>169616621.81999999</v>
      </c>
    </row>
    <row r="156" spans="1:7" x14ac:dyDescent="0.25">
      <c r="A156" s="1">
        <v>44927</v>
      </c>
      <c r="B156" t="s">
        <v>24</v>
      </c>
      <c r="C156" t="s">
        <v>201</v>
      </c>
      <c r="D156" s="2">
        <v>74746.600000000006</v>
      </c>
      <c r="E156">
        <v>0</v>
      </c>
      <c r="F156">
        <v>0</v>
      </c>
      <c r="G156" s="2">
        <v>3518949.52</v>
      </c>
    </row>
    <row r="157" spans="1:7" x14ac:dyDescent="0.25">
      <c r="A157" s="1">
        <v>44927</v>
      </c>
      <c r="B157" t="s">
        <v>29</v>
      </c>
      <c r="C157" t="s">
        <v>202</v>
      </c>
      <c r="D157" s="2">
        <v>341492658.08999997</v>
      </c>
      <c r="E157" s="2">
        <v>22937109.07</v>
      </c>
      <c r="F157" s="2">
        <v>6208459.9100000001</v>
      </c>
      <c r="G157" s="2">
        <v>82022363.859999999</v>
      </c>
    </row>
    <row r="158" spans="1:7" x14ac:dyDescent="0.25">
      <c r="A158" s="1">
        <v>44927</v>
      </c>
      <c r="B158" t="s">
        <v>37</v>
      </c>
      <c r="C158" t="s">
        <v>203</v>
      </c>
      <c r="D158" s="2">
        <v>259872939.59999999</v>
      </c>
      <c r="E158" s="2">
        <v>45898352.810000002</v>
      </c>
      <c r="F158" s="2">
        <v>8639085.5899999999</v>
      </c>
      <c r="G158" s="2">
        <v>90630160.209999993</v>
      </c>
    </row>
    <row r="159" spans="1:7" x14ac:dyDescent="0.25">
      <c r="A159" s="1">
        <v>44927</v>
      </c>
      <c r="B159" t="s">
        <v>45</v>
      </c>
      <c r="C159" t="s">
        <v>204</v>
      </c>
      <c r="D159" s="2">
        <v>974651554946.55005</v>
      </c>
      <c r="E159" s="2">
        <v>457589582165.66998</v>
      </c>
      <c r="F159" s="2">
        <v>457561071916.13</v>
      </c>
      <c r="G159" s="2">
        <v>16082907685.58</v>
      </c>
    </row>
    <row r="160" spans="1:7" x14ac:dyDescent="0.25">
      <c r="A160" s="1">
        <v>44927</v>
      </c>
      <c r="B160" t="s">
        <v>75</v>
      </c>
      <c r="C160" t="s">
        <v>205</v>
      </c>
      <c r="D160" s="2">
        <v>17570514885.470001</v>
      </c>
      <c r="E160" s="2">
        <v>2468508915.0500002</v>
      </c>
      <c r="F160" s="2">
        <v>572315736</v>
      </c>
      <c r="G160" s="2">
        <v>2181513920.5300002</v>
      </c>
    </row>
    <row r="161" spans="1:7" x14ac:dyDescent="0.25">
      <c r="A161" s="1">
        <v>44927</v>
      </c>
      <c r="B161" t="s">
        <v>50</v>
      </c>
      <c r="C161" t="s">
        <v>208</v>
      </c>
      <c r="D161" s="2">
        <v>58722363.829999998</v>
      </c>
      <c r="E161" s="2">
        <v>33254095.120000001</v>
      </c>
      <c r="F161" s="2">
        <v>22452942.57</v>
      </c>
      <c r="G161" s="2">
        <v>43488905.719999999</v>
      </c>
    </row>
    <row r="162" spans="1:7" x14ac:dyDescent="0.25">
      <c r="A162" s="1">
        <v>44927</v>
      </c>
      <c r="B162" t="s">
        <v>31</v>
      </c>
      <c r="C162" t="s">
        <v>209</v>
      </c>
      <c r="D162" s="2">
        <v>301393211.67000002</v>
      </c>
      <c r="E162" s="2">
        <v>43619546.009999998</v>
      </c>
      <c r="F162" s="2">
        <v>11145538.23</v>
      </c>
      <c r="G162" s="2">
        <v>51220777.619999997</v>
      </c>
    </row>
    <row r="163" spans="1:7" x14ac:dyDescent="0.25">
      <c r="A163" s="1">
        <v>44927</v>
      </c>
      <c r="B163" t="s">
        <v>125</v>
      </c>
      <c r="C163" t="s">
        <v>212</v>
      </c>
      <c r="D163" s="2">
        <v>16000</v>
      </c>
      <c r="E163" s="2">
        <v>7412.79</v>
      </c>
      <c r="F163" s="2">
        <v>7412.79</v>
      </c>
      <c r="G163">
        <v>0</v>
      </c>
    </row>
    <row r="164" spans="1:7" x14ac:dyDescent="0.25">
      <c r="A164" s="1">
        <v>44927</v>
      </c>
      <c r="B164" t="s">
        <v>16</v>
      </c>
      <c r="C164" t="s">
        <v>213</v>
      </c>
      <c r="D164" s="2">
        <v>28761655006.759998</v>
      </c>
      <c r="E164" s="2">
        <v>7481396077.3100004</v>
      </c>
      <c r="F164" s="2">
        <v>6433622541.6000004</v>
      </c>
      <c r="G164" s="2">
        <v>4504676463.6000004</v>
      </c>
    </row>
    <row r="165" spans="1:7" x14ac:dyDescent="0.25">
      <c r="A165" s="1">
        <v>44927</v>
      </c>
      <c r="B165" t="s">
        <v>48</v>
      </c>
      <c r="C165" t="s">
        <v>214</v>
      </c>
      <c r="D165">
        <v>0</v>
      </c>
      <c r="E165">
        <v>0</v>
      </c>
      <c r="F165">
        <v>0</v>
      </c>
      <c r="G165" s="2">
        <v>153380570.52000001</v>
      </c>
    </row>
    <row r="166" spans="1:7" x14ac:dyDescent="0.25">
      <c r="A166" s="1">
        <v>44927</v>
      </c>
      <c r="B166" t="s">
        <v>27</v>
      </c>
      <c r="C166" t="s">
        <v>215</v>
      </c>
      <c r="D166" s="2">
        <v>17005188.079999998</v>
      </c>
      <c r="E166" s="2">
        <v>4692575.03</v>
      </c>
      <c r="F166" s="2">
        <v>881816.51</v>
      </c>
      <c r="G166" s="2">
        <v>34618709.939999998</v>
      </c>
    </row>
    <row r="167" spans="1:7" x14ac:dyDescent="0.25">
      <c r="A167" s="1">
        <v>44927</v>
      </c>
      <c r="B167" t="s">
        <v>69</v>
      </c>
      <c r="C167" t="s">
        <v>218</v>
      </c>
      <c r="D167" s="2">
        <v>476276422.25</v>
      </c>
      <c r="E167" s="2">
        <v>257173228.71000001</v>
      </c>
      <c r="F167" s="2">
        <v>213403043.38</v>
      </c>
      <c r="G167" s="2">
        <v>103691875.51000001</v>
      </c>
    </row>
    <row r="168" spans="1:7" x14ac:dyDescent="0.25">
      <c r="A168" s="1">
        <v>44927</v>
      </c>
      <c r="B168" t="s">
        <v>13</v>
      </c>
      <c r="C168" t="s">
        <v>219</v>
      </c>
      <c r="D168" s="2">
        <v>187141475.78</v>
      </c>
      <c r="E168" s="2">
        <v>12667877.25</v>
      </c>
      <c r="F168" s="2">
        <v>1322465.3999999999</v>
      </c>
      <c r="G168" s="2">
        <v>15173890.17</v>
      </c>
    </row>
    <row r="169" spans="1:7" x14ac:dyDescent="0.25">
      <c r="A169" s="1">
        <v>44927</v>
      </c>
      <c r="B169" t="s">
        <v>130</v>
      </c>
      <c r="C169" t="s">
        <v>221</v>
      </c>
      <c r="D169" s="2">
        <v>13421085247.870001</v>
      </c>
      <c r="E169" s="2">
        <v>13265132593.200001</v>
      </c>
      <c r="F169" s="2">
        <v>13256137531.450001</v>
      </c>
      <c r="G169" s="2">
        <v>156769408.44999999</v>
      </c>
    </row>
    <row r="170" spans="1:7" x14ac:dyDescent="0.25">
      <c r="A170" s="1">
        <v>44927</v>
      </c>
      <c r="B170" t="s">
        <v>192</v>
      </c>
      <c r="C170" t="s">
        <v>222</v>
      </c>
      <c r="D170" s="2">
        <v>160000</v>
      </c>
      <c r="E170">
        <v>0</v>
      </c>
      <c r="F170">
        <v>0</v>
      </c>
      <c r="G170">
        <v>0</v>
      </c>
    </row>
    <row r="171" spans="1:7" x14ac:dyDescent="0.25">
      <c r="A171" s="1">
        <v>44927</v>
      </c>
      <c r="B171" t="s">
        <v>223</v>
      </c>
      <c r="C171" t="s">
        <v>224</v>
      </c>
      <c r="D171" s="2">
        <v>1164468.21</v>
      </c>
      <c r="E171" s="2">
        <v>153533.22</v>
      </c>
      <c r="F171" s="2">
        <v>153533.22</v>
      </c>
      <c r="G171" s="2">
        <v>62352187.049999997</v>
      </c>
    </row>
    <row r="172" spans="1:7" x14ac:dyDescent="0.25">
      <c r="A172" s="1">
        <v>44927</v>
      </c>
      <c r="B172" t="s">
        <v>22</v>
      </c>
      <c r="C172" t="s">
        <v>225</v>
      </c>
      <c r="D172" s="2">
        <v>121678447.2</v>
      </c>
      <c r="E172" s="2">
        <v>10093227.060000001</v>
      </c>
      <c r="F172" s="2">
        <v>3204454.56</v>
      </c>
      <c r="G172" s="2">
        <v>11345274.15</v>
      </c>
    </row>
    <row r="173" spans="1:7" x14ac:dyDescent="0.25">
      <c r="A173" s="1">
        <v>44927</v>
      </c>
      <c r="B173" t="s">
        <v>77</v>
      </c>
      <c r="C173" t="s">
        <v>226</v>
      </c>
      <c r="D173">
        <v>0</v>
      </c>
      <c r="E173">
        <v>0</v>
      </c>
      <c r="F173">
        <v>0</v>
      </c>
      <c r="G173" s="2">
        <v>10000000</v>
      </c>
    </row>
    <row r="174" spans="1:7" x14ac:dyDescent="0.25">
      <c r="A174" s="1">
        <v>44927</v>
      </c>
      <c r="B174" t="s">
        <v>80</v>
      </c>
      <c r="C174" t="s">
        <v>227</v>
      </c>
      <c r="D174" s="2">
        <v>624506001.75</v>
      </c>
      <c r="E174" s="2">
        <v>254277082.72</v>
      </c>
      <c r="F174" s="2">
        <v>123916003.56</v>
      </c>
      <c r="G174" s="2">
        <v>175092621.27000001</v>
      </c>
    </row>
    <row r="175" spans="1:7" x14ac:dyDescent="0.25">
      <c r="A175" s="1">
        <v>44927</v>
      </c>
      <c r="B175" t="s">
        <v>127</v>
      </c>
      <c r="C175" t="s">
        <v>228</v>
      </c>
      <c r="D175" s="2">
        <v>30242720.48</v>
      </c>
      <c r="E175" s="2">
        <v>13536172.59</v>
      </c>
      <c r="F175" s="2">
        <v>3333861.67</v>
      </c>
      <c r="G175" s="2">
        <v>105217812.20999999</v>
      </c>
    </row>
    <row r="176" spans="1:7" x14ac:dyDescent="0.25">
      <c r="A176" s="1">
        <v>44927</v>
      </c>
      <c r="B176" t="s">
        <v>140</v>
      </c>
      <c r="C176" t="s">
        <v>229</v>
      </c>
      <c r="D176" s="2">
        <v>58859034.609999999</v>
      </c>
      <c r="E176" s="2">
        <v>4223754.1399999997</v>
      </c>
      <c r="F176" s="2">
        <v>892977.26</v>
      </c>
      <c r="G176" s="2">
        <v>13301738.15</v>
      </c>
    </row>
    <row r="177" spans="1:7" x14ac:dyDescent="0.25">
      <c r="A177" s="1">
        <v>44927</v>
      </c>
      <c r="B177" t="s">
        <v>19</v>
      </c>
      <c r="C177" t="s">
        <v>230</v>
      </c>
      <c r="D177" s="2">
        <v>54628405.979999997</v>
      </c>
      <c r="E177" s="2">
        <v>12677654.949999999</v>
      </c>
      <c r="F177" s="2">
        <v>2088318.41</v>
      </c>
      <c r="G177" s="2">
        <v>31017191.829999998</v>
      </c>
    </row>
    <row r="178" spans="1:7" x14ac:dyDescent="0.25">
      <c r="A178" s="1">
        <v>44927</v>
      </c>
      <c r="B178" t="s">
        <v>13</v>
      </c>
      <c r="C178" t="s">
        <v>231</v>
      </c>
      <c r="D178" s="2">
        <v>297110451.75</v>
      </c>
      <c r="E178" s="2">
        <v>24115739.449999999</v>
      </c>
      <c r="F178" s="2">
        <v>8698342.4499999993</v>
      </c>
      <c r="G178" s="2">
        <v>15534136.24</v>
      </c>
    </row>
    <row r="179" spans="1:7" x14ac:dyDescent="0.25">
      <c r="A179" s="1">
        <v>44927</v>
      </c>
      <c r="B179" t="s">
        <v>31</v>
      </c>
      <c r="C179" t="s">
        <v>232</v>
      </c>
      <c r="D179" s="2">
        <v>5630952215.0100002</v>
      </c>
      <c r="E179" s="2">
        <v>574040071.50999999</v>
      </c>
      <c r="F179" s="2">
        <v>197103423.37</v>
      </c>
      <c r="G179" s="2">
        <v>488208402.93000001</v>
      </c>
    </row>
    <row r="180" spans="1:7" x14ac:dyDescent="0.25">
      <c r="A180" s="1">
        <v>44927</v>
      </c>
      <c r="B180" t="s">
        <v>31</v>
      </c>
      <c r="C180" t="s">
        <v>233</v>
      </c>
      <c r="D180" s="2">
        <v>4998337693.6800003</v>
      </c>
      <c r="E180" s="2">
        <v>407184839.37</v>
      </c>
      <c r="F180" s="2">
        <v>125445654.01000001</v>
      </c>
      <c r="G180" s="2">
        <v>360889207.18000001</v>
      </c>
    </row>
    <row r="181" spans="1:7" x14ac:dyDescent="0.25">
      <c r="A181" s="1">
        <v>44927</v>
      </c>
      <c r="B181" t="s">
        <v>61</v>
      </c>
      <c r="C181" t="s">
        <v>234</v>
      </c>
      <c r="D181" s="2">
        <v>550804261.70000005</v>
      </c>
      <c r="E181" s="2">
        <v>68539277.489999995</v>
      </c>
      <c r="F181" s="2">
        <v>22615858.309999999</v>
      </c>
      <c r="G181" s="2">
        <v>70625695.180000007</v>
      </c>
    </row>
    <row r="182" spans="1:7" x14ac:dyDescent="0.25">
      <c r="A182" s="1">
        <v>44927</v>
      </c>
      <c r="B182" t="s">
        <v>22</v>
      </c>
      <c r="C182" t="s">
        <v>235</v>
      </c>
      <c r="D182" s="2">
        <v>166083.26999999999</v>
      </c>
      <c r="E182" s="2">
        <v>1266.28</v>
      </c>
      <c r="F182" s="2">
        <v>1266.28</v>
      </c>
      <c r="G182" s="2">
        <v>762107.06</v>
      </c>
    </row>
    <row r="183" spans="1:7" x14ac:dyDescent="0.25">
      <c r="A183" s="1">
        <v>44927</v>
      </c>
      <c r="B183" t="s">
        <v>192</v>
      </c>
      <c r="C183" t="s">
        <v>236</v>
      </c>
      <c r="D183" s="2">
        <v>85892412.730000004</v>
      </c>
      <c r="E183" s="2">
        <v>6670441.9199999999</v>
      </c>
      <c r="F183" s="2">
        <v>2090847.9</v>
      </c>
      <c r="G183" s="2">
        <v>8200613.9299999997</v>
      </c>
    </row>
    <row r="184" spans="1:7" x14ac:dyDescent="0.25">
      <c r="A184" s="1">
        <v>44927</v>
      </c>
      <c r="B184" t="s">
        <v>50</v>
      </c>
      <c r="C184" t="s">
        <v>237</v>
      </c>
      <c r="D184" s="2">
        <v>11630923.689999999</v>
      </c>
      <c r="E184" s="2">
        <v>984512.53</v>
      </c>
      <c r="F184" s="2">
        <v>315786.09000000003</v>
      </c>
      <c r="G184" s="2">
        <v>10754473.789999999</v>
      </c>
    </row>
    <row r="185" spans="1:7" x14ac:dyDescent="0.25">
      <c r="A185" s="1">
        <v>44927</v>
      </c>
      <c r="B185" t="s">
        <v>45</v>
      </c>
      <c r="C185" t="s">
        <v>238</v>
      </c>
      <c r="D185" s="2">
        <v>226935249.43000001</v>
      </c>
      <c r="E185" s="2">
        <v>17221396.370000001</v>
      </c>
      <c r="F185" s="2">
        <v>5144865.29</v>
      </c>
      <c r="G185" s="2">
        <v>14602286.02</v>
      </c>
    </row>
    <row r="186" spans="1:7" x14ac:dyDescent="0.25">
      <c r="A186" s="1">
        <v>44927</v>
      </c>
      <c r="B186" t="s">
        <v>50</v>
      </c>
      <c r="C186" t="s">
        <v>239</v>
      </c>
      <c r="D186" s="2">
        <v>2793177.65</v>
      </c>
      <c r="E186" s="2">
        <v>2619097.0699999998</v>
      </c>
      <c r="F186" s="2">
        <v>676297.84</v>
      </c>
      <c r="G186" s="2">
        <v>2575989.61</v>
      </c>
    </row>
    <row r="187" spans="1:7" x14ac:dyDescent="0.25">
      <c r="A187" s="1">
        <v>44927</v>
      </c>
      <c r="B187" t="s">
        <v>50</v>
      </c>
      <c r="C187" t="s">
        <v>240</v>
      </c>
      <c r="D187" s="2">
        <v>3680828.86</v>
      </c>
      <c r="E187" s="2">
        <v>3084449.57</v>
      </c>
      <c r="F187" s="2">
        <v>922599.78</v>
      </c>
      <c r="G187" s="2">
        <v>3444047.28</v>
      </c>
    </row>
    <row r="188" spans="1:7" x14ac:dyDescent="0.25">
      <c r="A188" s="1">
        <v>44927</v>
      </c>
      <c r="B188" t="s">
        <v>125</v>
      </c>
      <c r="C188" t="s">
        <v>241</v>
      </c>
      <c r="D188" s="2">
        <v>24536441.359999999</v>
      </c>
      <c r="E188" s="2">
        <v>2329035.5</v>
      </c>
      <c r="F188" s="2">
        <v>588189.25</v>
      </c>
      <c r="G188" s="2">
        <v>2371328.58</v>
      </c>
    </row>
    <row r="189" spans="1:7" x14ac:dyDescent="0.25">
      <c r="A189" s="1">
        <v>44927</v>
      </c>
      <c r="B189" t="s">
        <v>27</v>
      </c>
      <c r="C189" t="s">
        <v>242</v>
      </c>
      <c r="D189" s="2">
        <v>222906574.27000001</v>
      </c>
      <c r="E189" s="2">
        <v>13818686.109999999</v>
      </c>
      <c r="F189" s="2">
        <v>7179180.9100000001</v>
      </c>
      <c r="G189" s="2">
        <v>36821917.469999999</v>
      </c>
    </row>
    <row r="190" spans="1:7" x14ac:dyDescent="0.25">
      <c r="A190" s="1">
        <v>44927</v>
      </c>
      <c r="B190" t="s">
        <v>37</v>
      </c>
      <c r="C190" t="s">
        <v>243</v>
      </c>
      <c r="D190" s="2">
        <v>64161148.57</v>
      </c>
      <c r="E190" s="2">
        <v>11578965.49</v>
      </c>
      <c r="F190" s="2">
        <v>3219067.33</v>
      </c>
      <c r="G190" s="2">
        <v>10611799.77</v>
      </c>
    </row>
    <row r="191" spans="1:7" x14ac:dyDescent="0.25">
      <c r="A191" s="1">
        <v>44927</v>
      </c>
      <c r="B191" t="s">
        <v>37</v>
      </c>
      <c r="C191" t="s">
        <v>244</v>
      </c>
      <c r="D191" s="2">
        <v>1698936242.3900001</v>
      </c>
      <c r="E191" s="2">
        <v>143971394.88</v>
      </c>
      <c r="F191" s="2">
        <v>45727003.75</v>
      </c>
      <c r="G191" s="2">
        <v>118331949.41</v>
      </c>
    </row>
    <row r="192" spans="1:7" x14ac:dyDescent="0.25">
      <c r="A192" s="1">
        <v>44927</v>
      </c>
      <c r="B192" t="s">
        <v>37</v>
      </c>
      <c r="C192" t="s">
        <v>245</v>
      </c>
      <c r="D192" s="2">
        <v>23351705.100000001</v>
      </c>
      <c r="E192" s="2">
        <v>20547320.899999999</v>
      </c>
      <c r="F192" s="2">
        <v>6606764.8399999999</v>
      </c>
      <c r="G192" s="2">
        <v>18011434.25</v>
      </c>
    </row>
    <row r="193" spans="1:7" x14ac:dyDescent="0.25">
      <c r="A193" s="1">
        <v>44927</v>
      </c>
      <c r="B193" t="s">
        <v>37</v>
      </c>
      <c r="C193" t="s">
        <v>246</v>
      </c>
      <c r="D193" s="2">
        <v>118098784.8</v>
      </c>
      <c r="E193" s="2">
        <v>12421358.66</v>
      </c>
      <c r="F193" s="2">
        <v>3642114.56</v>
      </c>
      <c r="G193" s="2">
        <v>10663460.66</v>
      </c>
    </row>
    <row r="194" spans="1:7" x14ac:dyDescent="0.25">
      <c r="A194" s="1">
        <v>44927</v>
      </c>
      <c r="B194" t="s">
        <v>37</v>
      </c>
      <c r="C194" t="s">
        <v>247</v>
      </c>
      <c r="D194" s="2">
        <v>1506390343.8299999</v>
      </c>
      <c r="E194" s="2">
        <v>142234466.84999999</v>
      </c>
      <c r="F194" s="2">
        <v>40686426.549999997</v>
      </c>
      <c r="G194" s="2">
        <v>149779039.31999999</v>
      </c>
    </row>
    <row r="195" spans="1:7" x14ac:dyDescent="0.25">
      <c r="A195" s="1">
        <v>44927</v>
      </c>
      <c r="B195" t="s">
        <v>37</v>
      </c>
      <c r="C195" t="s">
        <v>248</v>
      </c>
      <c r="D195" s="2">
        <v>937809834.90999997</v>
      </c>
      <c r="E195" s="2">
        <v>70127302.609999999</v>
      </c>
      <c r="F195" s="2">
        <v>21303123.32</v>
      </c>
      <c r="G195" s="2">
        <v>69826633.760000005</v>
      </c>
    </row>
    <row r="196" spans="1:7" x14ac:dyDescent="0.25">
      <c r="A196" s="1">
        <v>44927</v>
      </c>
      <c r="B196" t="s">
        <v>37</v>
      </c>
      <c r="C196" t="s">
        <v>249</v>
      </c>
      <c r="D196" s="2">
        <v>172217715.69999999</v>
      </c>
      <c r="E196" s="2">
        <v>18022490.800000001</v>
      </c>
      <c r="F196" s="2">
        <v>5830838.6900000004</v>
      </c>
      <c r="G196" s="2">
        <v>18771193.449999999</v>
      </c>
    </row>
    <row r="197" spans="1:7" x14ac:dyDescent="0.25">
      <c r="A197" s="1">
        <v>44927</v>
      </c>
      <c r="B197" t="s">
        <v>37</v>
      </c>
      <c r="C197" t="s">
        <v>250</v>
      </c>
      <c r="D197" s="2">
        <v>748725364.53999996</v>
      </c>
      <c r="E197" s="2">
        <v>60418215.030000001</v>
      </c>
      <c r="F197" s="2">
        <v>18475061.050000001</v>
      </c>
      <c r="G197" s="2">
        <v>62145387.950000003</v>
      </c>
    </row>
    <row r="198" spans="1:7" x14ac:dyDescent="0.25">
      <c r="A198" s="1">
        <v>44927</v>
      </c>
      <c r="B198" t="s">
        <v>37</v>
      </c>
      <c r="C198" t="s">
        <v>251</v>
      </c>
      <c r="D198" s="2">
        <v>8653594.4000000004</v>
      </c>
      <c r="E198" s="2">
        <v>7259446.0899999999</v>
      </c>
      <c r="F198" s="2">
        <v>2607375.7599999998</v>
      </c>
      <c r="G198" s="2">
        <v>7608483.6500000004</v>
      </c>
    </row>
    <row r="199" spans="1:7" x14ac:dyDescent="0.25">
      <c r="A199" s="1">
        <v>44927</v>
      </c>
      <c r="B199" t="s">
        <v>37</v>
      </c>
      <c r="C199" t="s">
        <v>252</v>
      </c>
      <c r="D199" s="2">
        <v>1250767665.77</v>
      </c>
      <c r="E199" s="2">
        <v>103059114.56999999</v>
      </c>
      <c r="F199" s="2">
        <v>32986023.739999998</v>
      </c>
      <c r="G199" s="2">
        <v>79782854.489999995</v>
      </c>
    </row>
    <row r="200" spans="1:7" x14ac:dyDescent="0.25">
      <c r="A200" s="1">
        <v>44927</v>
      </c>
      <c r="B200" t="s">
        <v>37</v>
      </c>
      <c r="C200" t="s">
        <v>253</v>
      </c>
      <c r="D200" s="2">
        <v>221784332.22</v>
      </c>
      <c r="E200" s="2">
        <v>18010911.34</v>
      </c>
      <c r="F200" s="2">
        <v>5416230.4500000002</v>
      </c>
      <c r="G200" s="2">
        <v>19906660.260000002</v>
      </c>
    </row>
    <row r="201" spans="1:7" x14ac:dyDescent="0.25">
      <c r="A201" s="1">
        <v>44927</v>
      </c>
      <c r="B201" t="s">
        <v>37</v>
      </c>
      <c r="C201" t="s">
        <v>254</v>
      </c>
      <c r="D201" s="2">
        <v>97905739.120000005</v>
      </c>
      <c r="E201" s="2">
        <v>7826604.8399999999</v>
      </c>
      <c r="F201" s="2">
        <v>2705532.52</v>
      </c>
      <c r="G201" s="2">
        <v>7333089.0199999996</v>
      </c>
    </row>
    <row r="202" spans="1:7" x14ac:dyDescent="0.25">
      <c r="A202" s="1">
        <v>44927</v>
      </c>
      <c r="B202" t="s">
        <v>37</v>
      </c>
      <c r="C202" t="s">
        <v>255</v>
      </c>
      <c r="D202" s="2">
        <v>870288661.78999996</v>
      </c>
      <c r="E202" s="2">
        <v>71702261.879999995</v>
      </c>
      <c r="F202" s="2">
        <v>20717032.48</v>
      </c>
      <c r="G202" s="2">
        <v>70298128.879999995</v>
      </c>
    </row>
    <row r="203" spans="1:7" x14ac:dyDescent="0.25">
      <c r="A203" s="1">
        <v>44927</v>
      </c>
      <c r="B203" t="s">
        <v>37</v>
      </c>
      <c r="C203" t="s">
        <v>256</v>
      </c>
      <c r="D203" s="2">
        <v>195902779.34999999</v>
      </c>
      <c r="E203" s="2">
        <v>28209665.199999999</v>
      </c>
      <c r="F203" s="2">
        <v>9020719.0800000001</v>
      </c>
      <c r="G203" s="2">
        <v>27482446.68</v>
      </c>
    </row>
    <row r="204" spans="1:7" x14ac:dyDescent="0.25">
      <c r="A204" s="1">
        <v>44927</v>
      </c>
      <c r="B204" t="s">
        <v>37</v>
      </c>
      <c r="C204" t="s">
        <v>257</v>
      </c>
      <c r="D204" s="2">
        <v>2253265909.0799999</v>
      </c>
      <c r="E204" s="2">
        <v>182910472.53</v>
      </c>
      <c r="F204" s="2">
        <v>49527008.840000004</v>
      </c>
      <c r="G204" s="2">
        <v>155263281.78999999</v>
      </c>
    </row>
    <row r="205" spans="1:7" x14ac:dyDescent="0.25">
      <c r="A205" s="1">
        <v>44927</v>
      </c>
      <c r="B205" t="s">
        <v>37</v>
      </c>
      <c r="C205" t="s">
        <v>258</v>
      </c>
      <c r="D205" s="2">
        <v>334708026.41000003</v>
      </c>
      <c r="E205" s="2">
        <v>29250135.920000002</v>
      </c>
      <c r="F205" s="2">
        <v>6330450.0499999998</v>
      </c>
      <c r="G205" s="2">
        <v>29258503.41</v>
      </c>
    </row>
    <row r="206" spans="1:7" x14ac:dyDescent="0.25">
      <c r="A206" s="1">
        <v>44927</v>
      </c>
      <c r="B206" t="s">
        <v>37</v>
      </c>
      <c r="C206" t="s">
        <v>259</v>
      </c>
      <c r="D206" s="2">
        <v>1746934223.4100001</v>
      </c>
      <c r="E206" s="2">
        <v>134932275.72</v>
      </c>
      <c r="F206" s="2">
        <v>38589298.289999999</v>
      </c>
      <c r="G206" s="2">
        <v>130616094.42</v>
      </c>
    </row>
    <row r="207" spans="1:7" x14ac:dyDescent="0.25">
      <c r="A207" s="1">
        <v>44927</v>
      </c>
      <c r="B207" t="s">
        <v>37</v>
      </c>
      <c r="C207" t="s">
        <v>260</v>
      </c>
      <c r="D207" s="2">
        <v>84235777.489999995</v>
      </c>
      <c r="E207" s="2">
        <v>6865376.1399999997</v>
      </c>
      <c r="F207" s="2">
        <v>2419453.08</v>
      </c>
      <c r="G207" s="2">
        <v>7141349.1100000003</v>
      </c>
    </row>
    <row r="208" spans="1:7" x14ac:dyDescent="0.25">
      <c r="A208" s="1">
        <v>44927</v>
      </c>
      <c r="B208" t="s">
        <v>37</v>
      </c>
      <c r="C208" t="s">
        <v>261</v>
      </c>
      <c r="D208" s="2">
        <v>216478731.21000001</v>
      </c>
      <c r="E208" s="2">
        <v>17982754.77</v>
      </c>
      <c r="F208" s="2">
        <v>5851228.3799999999</v>
      </c>
      <c r="G208" s="2">
        <v>16371060.300000001</v>
      </c>
    </row>
    <row r="209" spans="1:7" x14ac:dyDescent="0.25">
      <c r="A209" s="1">
        <v>44927</v>
      </c>
      <c r="B209" t="s">
        <v>37</v>
      </c>
      <c r="C209" t="s">
        <v>262</v>
      </c>
      <c r="D209" s="2">
        <v>1557616160.4300001</v>
      </c>
      <c r="E209" s="2">
        <v>139452454</v>
      </c>
      <c r="F209" s="2">
        <v>39206106.93</v>
      </c>
      <c r="G209" s="2">
        <v>119544509.34999999</v>
      </c>
    </row>
    <row r="210" spans="1:7" x14ac:dyDescent="0.25">
      <c r="A210" s="1">
        <v>44927</v>
      </c>
      <c r="B210" t="s">
        <v>37</v>
      </c>
      <c r="C210" t="s">
        <v>263</v>
      </c>
      <c r="D210" s="2">
        <v>1396499807.1800001</v>
      </c>
      <c r="E210" s="2">
        <v>116919548.55</v>
      </c>
      <c r="F210" s="2">
        <v>32717627.98</v>
      </c>
      <c r="G210" s="2">
        <v>93235395.120000005</v>
      </c>
    </row>
    <row r="211" spans="1:7" x14ac:dyDescent="0.25">
      <c r="A211" s="1">
        <v>44927</v>
      </c>
      <c r="B211" t="s">
        <v>37</v>
      </c>
      <c r="C211" t="s">
        <v>264</v>
      </c>
      <c r="D211" s="2">
        <v>1300404285.1400001</v>
      </c>
      <c r="E211" s="2">
        <v>110645287.70999999</v>
      </c>
      <c r="F211" s="2">
        <v>31764194.120000001</v>
      </c>
      <c r="G211" s="2">
        <v>91101652.620000005</v>
      </c>
    </row>
    <row r="212" spans="1:7" x14ac:dyDescent="0.25">
      <c r="A212" s="1">
        <v>44927</v>
      </c>
      <c r="B212" t="s">
        <v>37</v>
      </c>
      <c r="C212" t="s">
        <v>265</v>
      </c>
      <c r="D212" s="2">
        <v>902026212.42999995</v>
      </c>
      <c r="E212" s="2">
        <v>70984744.469999999</v>
      </c>
      <c r="F212" s="2">
        <v>18875531.120000001</v>
      </c>
      <c r="G212" s="2">
        <v>70197056.75</v>
      </c>
    </row>
    <row r="213" spans="1:7" x14ac:dyDescent="0.25">
      <c r="A213" s="1">
        <v>44927</v>
      </c>
      <c r="B213" t="s">
        <v>37</v>
      </c>
      <c r="C213" t="s">
        <v>266</v>
      </c>
      <c r="D213" s="2">
        <v>10076094.960000001</v>
      </c>
      <c r="E213" s="2">
        <v>4617022.5599999996</v>
      </c>
      <c r="F213" s="2">
        <v>1654138.77</v>
      </c>
      <c r="G213" s="2">
        <v>4820127.71</v>
      </c>
    </row>
    <row r="214" spans="1:7" x14ac:dyDescent="0.25">
      <c r="A214" s="1">
        <v>44927</v>
      </c>
      <c r="B214" t="s">
        <v>37</v>
      </c>
      <c r="C214" t="s">
        <v>267</v>
      </c>
      <c r="D214" s="2">
        <v>101949856.17</v>
      </c>
      <c r="E214" s="2">
        <v>8938867.1799999997</v>
      </c>
      <c r="F214" s="2">
        <v>2802962.02</v>
      </c>
      <c r="G214" s="2">
        <v>8248034.4100000001</v>
      </c>
    </row>
    <row r="215" spans="1:7" x14ac:dyDescent="0.25">
      <c r="A215" s="1">
        <v>44927</v>
      </c>
      <c r="B215" t="s">
        <v>37</v>
      </c>
      <c r="C215" t="s">
        <v>268</v>
      </c>
      <c r="D215" s="2">
        <v>1399313618.3399999</v>
      </c>
      <c r="E215" s="2">
        <v>123455816.72</v>
      </c>
      <c r="F215" s="2">
        <v>34835644.109999999</v>
      </c>
      <c r="G215" s="2">
        <v>109024692.40000001</v>
      </c>
    </row>
    <row r="216" spans="1:7" x14ac:dyDescent="0.25">
      <c r="A216" s="1">
        <v>44927</v>
      </c>
      <c r="B216" t="s">
        <v>37</v>
      </c>
      <c r="C216" t="s">
        <v>269</v>
      </c>
      <c r="D216" s="2">
        <v>8975498.6099999994</v>
      </c>
      <c r="E216" s="2">
        <v>5276115.25</v>
      </c>
      <c r="F216" s="2">
        <v>1803727.22</v>
      </c>
      <c r="G216" s="2">
        <v>5623935.1100000003</v>
      </c>
    </row>
    <row r="217" spans="1:7" x14ac:dyDescent="0.25">
      <c r="A217" s="1">
        <v>44927</v>
      </c>
      <c r="B217" t="s">
        <v>37</v>
      </c>
      <c r="C217" t="s">
        <v>270</v>
      </c>
      <c r="D217" s="2">
        <v>994479468.98000002</v>
      </c>
      <c r="E217" s="2">
        <v>84670419.549999997</v>
      </c>
      <c r="F217" s="2">
        <v>22424164.550000001</v>
      </c>
      <c r="G217" s="2">
        <v>72649678.939999998</v>
      </c>
    </row>
    <row r="218" spans="1:7" x14ac:dyDescent="0.25">
      <c r="A218" s="1">
        <v>44927</v>
      </c>
      <c r="B218" t="s">
        <v>37</v>
      </c>
      <c r="C218" t="s">
        <v>271</v>
      </c>
      <c r="D218" s="2">
        <v>537021455.76999998</v>
      </c>
      <c r="E218" s="2">
        <v>45960216.899999999</v>
      </c>
      <c r="F218" s="2">
        <v>13439610.699999999</v>
      </c>
      <c r="G218" s="2">
        <v>34035667.25</v>
      </c>
    </row>
    <row r="219" spans="1:7" x14ac:dyDescent="0.25">
      <c r="A219" s="1">
        <v>44927</v>
      </c>
      <c r="B219" t="s">
        <v>37</v>
      </c>
      <c r="C219" t="s">
        <v>272</v>
      </c>
      <c r="D219" s="2">
        <v>323266.48</v>
      </c>
      <c r="E219" s="2">
        <v>161633.24</v>
      </c>
      <c r="F219">
        <v>0</v>
      </c>
      <c r="G219" s="2">
        <v>387574.43</v>
      </c>
    </row>
    <row r="220" spans="1:7" x14ac:dyDescent="0.25">
      <c r="A220" s="1">
        <v>44927</v>
      </c>
      <c r="B220" t="s">
        <v>37</v>
      </c>
      <c r="C220" t="s">
        <v>273</v>
      </c>
      <c r="D220" s="2">
        <v>101853539.19</v>
      </c>
      <c r="E220" s="2">
        <v>8259370.75</v>
      </c>
      <c r="F220" s="2">
        <v>2437171.17</v>
      </c>
      <c r="G220" s="2">
        <v>8477964.3599999994</v>
      </c>
    </row>
    <row r="221" spans="1:7" x14ac:dyDescent="0.25">
      <c r="A221" s="1">
        <v>44927</v>
      </c>
      <c r="B221" t="s">
        <v>37</v>
      </c>
      <c r="C221" t="s">
        <v>274</v>
      </c>
      <c r="D221" s="2">
        <v>176744625</v>
      </c>
      <c r="E221" s="2">
        <v>14310281.029999999</v>
      </c>
      <c r="F221" s="2">
        <v>4730757.43</v>
      </c>
      <c r="G221" s="2">
        <v>11193764</v>
      </c>
    </row>
    <row r="222" spans="1:7" x14ac:dyDescent="0.25">
      <c r="A222" s="1">
        <v>44927</v>
      </c>
      <c r="B222" t="s">
        <v>37</v>
      </c>
      <c r="C222" t="s">
        <v>275</v>
      </c>
      <c r="D222" s="2">
        <v>1557501754.95</v>
      </c>
      <c r="E222" s="2">
        <v>138452349.55000001</v>
      </c>
      <c r="F222" s="2">
        <v>43371861.340000004</v>
      </c>
      <c r="G222" s="2">
        <v>114529892.66</v>
      </c>
    </row>
    <row r="223" spans="1:7" x14ac:dyDescent="0.25">
      <c r="A223" s="1">
        <v>44927</v>
      </c>
      <c r="B223" t="s">
        <v>37</v>
      </c>
      <c r="C223" t="s">
        <v>276</v>
      </c>
      <c r="D223" s="2">
        <v>512573635.43000001</v>
      </c>
      <c r="E223" s="2">
        <v>127484930.88</v>
      </c>
      <c r="F223" s="2">
        <v>35534303.310000002</v>
      </c>
      <c r="G223" s="2">
        <v>96543926.790000007</v>
      </c>
    </row>
    <row r="224" spans="1:7" x14ac:dyDescent="0.25">
      <c r="A224" s="1">
        <v>44927</v>
      </c>
      <c r="B224" t="s">
        <v>37</v>
      </c>
      <c r="C224" t="s">
        <v>277</v>
      </c>
      <c r="D224" s="2">
        <v>299654598.54000002</v>
      </c>
      <c r="E224" s="2">
        <v>23311394.370000001</v>
      </c>
      <c r="F224" s="2">
        <v>7805609.5700000003</v>
      </c>
      <c r="G224" s="2">
        <v>23502707.420000002</v>
      </c>
    </row>
    <row r="225" spans="1:7" x14ac:dyDescent="0.25">
      <c r="A225" s="1">
        <v>44927</v>
      </c>
      <c r="B225" t="s">
        <v>37</v>
      </c>
      <c r="C225" t="s">
        <v>278</v>
      </c>
      <c r="D225" s="2">
        <v>2733677905.9499998</v>
      </c>
      <c r="E225" s="2">
        <v>318120029.43000001</v>
      </c>
      <c r="F225" s="2">
        <v>96195881.640000001</v>
      </c>
      <c r="G225" s="2">
        <v>243929110.46000001</v>
      </c>
    </row>
    <row r="226" spans="1:7" x14ac:dyDescent="0.25">
      <c r="A226" s="1">
        <v>44927</v>
      </c>
      <c r="B226" t="s">
        <v>37</v>
      </c>
      <c r="C226" t="s">
        <v>279</v>
      </c>
      <c r="D226" s="2">
        <v>548202372.85000002</v>
      </c>
      <c r="E226" s="2">
        <v>47737975.18</v>
      </c>
      <c r="F226" s="2">
        <v>14490757.060000001</v>
      </c>
      <c r="G226" s="2">
        <v>33998101.200000003</v>
      </c>
    </row>
    <row r="227" spans="1:7" x14ac:dyDescent="0.25">
      <c r="A227" s="1">
        <v>44927</v>
      </c>
      <c r="B227" t="s">
        <v>37</v>
      </c>
      <c r="C227" t="s">
        <v>280</v>
      </c>
      <c r="D227" s="2">
        <v>1739282866.3399999</v>
      </c>
      <c r="E227" s="2">
        <v>143047071.84</v>
      </c>
      <c r="F227" s="2">
        <v>38353707.93</v>
      </c>
      <c r="G227" s="2">
        <v>129514830.48</v>
      </c>
    </row>
    <row r="228" spans="1:7" x14ac:dyDescent="0.25">
      <c r="A228" s="1">
        <v>44927</v>
      </c>
      <c r="B228" t="s">
        <v>37</v>
      </c>
      <c r="C228" t="s">
        <v>281</v>
      </c>
      <c r="D228" s="2">
        <v>1664479898.4100001</v>
      </c>
      <c r="E228" s="2">
        <v>145899166.12</v>
      </c>
      <c r="F228" s="2">
        <v>42208406.43</v>
      </c>
      <c r="G228" s="2">
        <v>124561470.12</v>
      </c>
    </row>
    <row r="229" spans="1:7" x14ac:dyDescent="0.25">
      <c r="A229" s="1">
        <v>44927</v>
      </c>
      <c r="B229" t="s">
        <v>37</v>
      </c>
      <c r="C229" t="s">
        <v>282</v>
      </c>
      <c r="D229" s="2">
        <v>97318416.700000003</v>
      </c>
      <c r="E229" s="2">
        <v>9949490.2100000009</v>
      </c>
      <c r="F229" s="2">
        <v>3315960.58</v>
      </c>
      <c r="G229" s="2">
        <v>6240759.1100000003</v>
      </c>
    </row>
    <row r="230" spans="1:7" x14ac:dyDescent="0.25">
      <c r="A230" s="1">
        <v>44927</v>
      </c>
      <c r="B230" t="s">
        <v>37</v>
      </c>
      <c r="C230" t="s">
        <v>283</v>
      </c>
      <c r="D230" s="2">
        <v>128044397.95</v>
      </c>
      <c r="E230" s="2">
        <v>10979296.119999999</v>
      </c>
      <c r="F230" s="2">
        <v>3418191.49</v>
      </c>
      <c r="G230" s="2">
        <v>8883331.7699999996</v>
      </c>
    </row>
    <row r="231" spans="1:7" x14ac:dyDescent="0.25">
      <c r="A231" s="1">
        <v>44927</v>
      </c>
      <c r="B231" t="s">
        <v>37</v>
      </c>
      <c r="C231" t="s">
        <v>284</v>
      </c>
      <c r="D231" s="2">
        <v>501372634.98000002</v>
      </c>
      <c r="E231" s="2">
        <v>40194821.460000001</v>
      </c>
      <c r="F231" s="2">
        <v>11867730.390000001</v>
      </c>
      <c r="G231" s="2">
        <v>33952251.149999999</v>
      </c>
    </row>
    <row r="232" spans="1:7" x14ac:dyDescent="0.25">
      <c r="A232" s="1">
        <v>44927</v>
      </c>
      <c r="B232" t="s">
        <v>37</v>
      </c>
      <c r="C232" t="s">
        <v>285</v>
      </c>
      <c r="D232" s="2">
        <v>273632580.91000003</v>
      </c>
      <c r="E232" s="2">
        <v>23635700.129999999</v>
      </c>
      <c r="F232" s="2">
        <v>7492043.8799999999</v>
      </c>
      <c r="G232" s="2">
        <v>19679254.280000001</v>
      </c>
    </row>
    <row r="233" spans="1:7" x14ac:dyDescent="0.25">
      <c r="A233" s="1">
        <v>44927</v>
      </c>
      <c r="B233" t="s">
        <v>37</v>
      </c>
      <c r="C233" t="s">
        <v>286</v>
      </c>
      <c r="D233" s="2">
        <v>181038694.13999999</v>
      </c>
      <c r="E233" s="2">
        <v>175065600.15000001</v>
      </c>
      <c r="F233" s="2">
        <v>51702376.009999998</v>
      </c>
      <c r="G233" s="2">
        <v>180102853.99000001</v>
      </c>
    </row>
    <row r="234" spans="1:7" x14ac:dyDescent="0.25">
      <c r="A234" s="1">
        <v>44927</v>
      </c>
      <c r="B234" t="s">
        <v>37</v>
      </c>
      <c r="C234" t="s">
        <v>287</v>
      </c>
      <c r="D234" s="2">
        <v>63304618.93</v>
      </c>
      <c r="E234" s="2">
        <v>18563742.710000001</v>
      </c>
      <c r="F234" s="2">
        <v>5820817.8700000001</v>
      </c>
      <c r="G234" s="2">
        <v>18383611.710000001</v>
      </c>
    </row>
    <row r="235" spans="1:7" x14ac:dyDescent="0.25">
      <c r="A235" s="1">
        <v>44927</v>
      </c>
      <c r="B235" t="s">
        <v>37</v>
      </c>
      <c r="C235" t="s">
        <v>288</v>
      </c>
      <c r="D235" s="2">
        <v>163023475.09999999</v>
      </c>
      <c r="E235" s="2">
        <v>46926047.270000003</v>
      </c>
      <c r="F235" s="2">
        <v>15070191.039999999</v>
      </c>
      <c r="G235" s="2">
        <v>44684543.07</v>
      </c>
    </row>
    <row r="236" spans="1:7" x14ac:dyDescent="0.25">
      <c r="A236" s="1">
        <v>44927</v>
      </c>
      <c r="B236" t="s">
        <v>37</v>
      </c>
      <c r="C236" t="s">
        <v>289</v>
      </c>
      <c r="D236" s="2">
        <v>687926754.84000003</v>
      </c>
      <c r="E236" s="2">
        <v>46004730.890000001</v>
      </c>
      <c r="F236" s="2">
        <v>10109346.050000001</v>
      </c>
      <c r="G236" s="2">
        <v>60507106.340000004</v>
      </c>
    </row>
    <row r="237" spans="1:7" x14ac:dyDescent="0.25">
      <c r="A237" s="1">
        <v>44927</v>
      </c>
      <c r="B237" t="s">
        <v>37</v>
      </c>
      <c r="C237" t="s">
        <v>290</v>
      </c>
      <c r="D237" s="2">
        <v>267815311.99000001</v>
      </c>
      <c r="E237" s="2">
        <v>21618115.280000001</v>
      </c>
      <c r="F237" s="2">
        <v>6931613.1799999997</v>
      </c>
      <c r="G237" s="2">
        <v>21319538.43</v>
      </c>
    </row>
    <row r="238" spans="1:7" x14ac:dyDescent="0.25">
      <c r="A238" s="1">
        <v>44927</v>
      </c>
      <c r="B238" t="s">
        <v>37</v>
      </c>
      <c r="C238" t="s">
        <v>291</v>
      </c>
      <c r="D238" s="2">
        <v>590367805.83000004</v>
      </c>
      <c r="E238" s="2">
        <v>74129623.269999996</v>
      </c>
      <c r="F238" s="2">
        <v>26165324.300000001</v>
      </c>
      <c r="G238" s="2">
        <v>76125642.840000004</v>
      </c>
    </row>
    <row r="239" spans="1:7" x14ac:dyDescent="0.25">
      <c r="A239" s="1">
        <v>44927</v>
      </c>
      <c r="B239" t="s">
        <v>19</v>
      </c>
      <c r="C239" t="s">
        <v>292</v>
      </c>
      <c r="D239" s="2">
        <v>174747683.99000001</v>
      </c>
      <c r="E239" s="2">
        <v>9340830.8100000005</v>
      </c>
      <c r="F239" s="2">
        <v>1711165.99</v>
      </c>
      <c r="G239" s="2">
        <v>17167699.77</v>
      </c>
    </row>
    <row r="240" spans="1:7" x14ac:dyDescent="0.25">
      <c r="A240" s="1">
        <v>44958</v>
      </c>
      <c r="B240" t="s">
        <v>7</v>
      </c>
      <c r="C240" t="s">
        <v>8</v>
      </c>
      <c r="D240" s="2">
        <v>35495318.560000002</v>
      </c>
      <c r="E240" s="2">
        <v>302792418.5</v>
      </c>
      <c r="F240" s="2">
        <v>294335303</v>
      </c>
      <c r="G240" s="2">
        <v>10264924.25</v>
      </c>
    </row>
    <row r="241" spans="1:7" x14ac:dyDescent="0.25">
      <c r="A241" s="1">
        <v>44958</v>
      </c>
      <c r="B241" t="s">
        <v>9</v>
      </c>
      <c r="C241" t="s">
        <v>10</v>
      </c>
      <c r="D241" s="2">
        <v>9463461.5800000001</v>
      </c>
      <c r="E241" s="2">
        <v>2344816.91</v>
      </c>
      <c r="F241" s="2">
        <v>2129466.4300000002</v>
      </c>
      <c r="G241" s="2">
        <v>315894.26</v>
      </c>
    </row>
    <row r="242" spans="1:7" x14ac:dyDescent="0.25">
      <c r="A242" s="1">
        <v>44958</v>
      </c>
      <c r="B242" t="s">
        <v>11</v>
      </c>
      <c r="C242" t="s">
        <v>12</v>
      </c>
      <c r="D242" s="2">
        <v>-34634594.310000002</v>
      </c>
      <c r="E242" s="2">
        <v>33896936.280000001</v>
      </c>
      <c r="F242" s="2">
        <v>35240546.590000004</v>
      </c>
      <c r="G242" s="2">
        <v>3621053.13</v>
      </c>
    </row>
    <row r="243" spans="1:7" x14ac:dyDescent="0.25">
      <c r="A243" s="1">
        <v>44958</v>
      </c>
      <c r="B243" t="s">
        <v>13</v>
      </c>
      <c r="C243" t="s">
        <v>14</v>
      </c>
      <c r="D243" s="2">
        <v>1711650819.9400001</v>
      </c>
      <c r="E243" s="2">
        <v>367933825.02999997</v>
      </c>
      <c r="F243" s="2">
        <v>368125905.67000002</v>
      </c>
      <c r="G243" s="2">
        <v>6241452.8099999996</v>
      </c>
    </row>
    <row r="244" spans="1:7" x14ac:dyDescent="0.25">
      <c r="A244" s="1">
        <v>44958</v>
      </c>
      <c r="B244" t="s">
        <v>13</v>
      </c>
      <c r="C244" t="s">
        <v>15</v>
      </c>
      <c r="D244" s="2">
        <v>16540942.039999999</v>
      </c>
      <c r="E244" s="2">
        <v>180343471.00999999</v>
      </c>
      <c r="F244" s="2">
        <v>180213486.84</v>
      </c>
      <c r="G244" s="2">
        <v>117593111.52</v>
      </c>
    </row>
    <row r="245" spans="1:7" x14ac:dyDescent="0.25">
      <c r="A245" s="1">
        <v>44958</v>
      </c>
      <c r="B245" t="s">
        <v>16</v>
      </c>
      <c r="C245" t="s">
        <v>17</v>
      </c>
      <c r="D245" s="2">
        <v>16521487.609999999</v>
      </c>
      <c r="E245" s="2">
        <v>18136066.600000001</v>
      </c>
      <c r="F245" s="2">
        <v>17704015.649999999</v>
      </c>
      <c r="G245" s="2">
        <v>4276268.7</v>
      </c>
    </row>
    <row r="246" spans="1:7" x14ac:dyDescent="0.25">
      <c r="A246" s="1">
        <v>44958</v>
      </c>
      <c r="B246" t="s">
        <v>11</v>
      </c>
      <c r="C246" t="s">
        <v>18</v>
      </c>
      <c r="D246" s="2">
        <v>81829012.599999994</v>
      </c>
      <c r="E246" s="2">
        <v>10715381.470000001</v>
      </c>
      <c r="F246" s="2">
        <v>10631828.27</v>
      </c>
      <c r="G246" s="2">
        <v>1128179.96</v>
      </c>
    </row>
    <row r="247" spans="1:7" x14ac:dyDescent="0.25">
      <c r="A247" s="1">
        <v>44958</v>
      </c>
      <c r="B247" t="s">
        <v>19</v>
      </c>
      <c r="C247" t="s">
        <v>20</v>
      </c>
      <c r="D247" s="2">
        <v>29994565.329999998</v>
      </c>
      <c r="E247" s="2">
        <v>25208412.809999999</v>
      </c>
      <c r="F247" s="2">
        <v>25659314.66</v>
      </c>
      <c r="G247" s="2">
        <v>12124285.42</v>
      </c>
    </row>
    <row r="248" spans="1:7" x14ac:dyDescent="0.25">
      <c r="A248" s="1">
        <v>44958</v>
      </c>
      <c r="B248" t="s">
        <v>16</v>
      </c>
      <c r="C248" t="s">
        <v>21</v>
      </c>
      <c r="D248" s="2">
        <v>26973953.469999999</v>
      </c>
      <c r="E248" s="2">
        <v>53304618.200000003</v>
      </c>
      <c r="F248" s="2">
        <v>52950628.950000003</v>
      </c>
      <c r="G248" s="2">
        <v>2507993.7000000002</v>
      </c>
    </row>
    <row r="249" spans="1:7" x14ac:dyDescent="0.25">
      <c r="A249" s="1">
        <v>44958</v>
      </c>
      <c r="B249" t="s">
        <v>22</v>
      </c>
      <c r="C249" t="s">
        <v>23</v>
      </c>
      <c r="D249" s="2">
        <v>3687224.25</v>
      </c>
      <c r="E249" s="2">
        <v>10913892.939999999</v>
      </c>
      <c r="F249" s="2">
        <v>10804124.390000001</v>
      </c>
      <c r="G249" s="2">
        <v>7274170.5300000003</v>
      </c>
    </row>
    <row r="250" spans="1:7" x14ac:dyDescent="0.25">
      <c r="A250" s="1">
        <v>44958</v>
      </c>
      <c r="B250" t="s">
        <v>24</v>
      </c>
      <c r="C250" t="s">
        <v>25</v>
      </c>
      <c r="D250" s="2">
        <v>101303239.92</v>
      </c>
      <c r="E250" s="2">
        <v>8939080.5099999998</v>
      </c>
      <c r="F250" s="2">
        <v>8715193.8100000005</v>
      </c>
      <c r="G250" s="2">
        <v>695432.8</v>
      </c>
    </row>
    <row r="251" spans="1:7" x14ac:dyDescent="0.25">
      <c r="A251" s="1">
        <v>44958</v>
      </c>
      <c r="B251" t="s">
        <v>13</v>
      </c>
      <c r="C251" t="s">
        <v>26</v>
      </c>
      <c r="D251" s="2">
        <v>5315648898.0699997</v>
      </c>
      <c r="E251" s="2">
        <v>5328341726.04</v>
      </c>
      <c r="F251" s="2">
        <v>5328240296.1400003</v>
      </c>
      <c r="G251" s="2">
        <v>2977234059.8099999</v>
      </c>
    </row>
    <row r="252" spans="1:7" x14ac:dyDescent="0.25">
      <c r="A252" s="1">
        <v>44958</v>
      </c>
      <c r="B252" t="s">
        <v>27</v>
      </c>
      <c r="C252" t="s">
        <v>28</v>
      </c>
      <c r="D252" s="2">
        <v>16590561.140000001</v>
      </c>
      <c r="E252" s="2">
        <v>35771016.43</v>
      </c>
      <c r="F252" s="2">
        <v>30191036.559999999</v>
      </c>
      <c r="G252" s="2">
        <v>5404616.1100000003</v>
      </c>
    </row>
    <row r="253" spans="1:7" x14ac:dyDescent="0.25">
      <c r="A253" s="1">
        <v>44958</v>
      </c>
      <c r="B253" t="s">
        <v>29</v>
      </c>
      <c r="C253" t="s">
        <v>30</v>
      </c>
      <c r="D253" s="2">
        <v>37600709.75</v>
      </c>
      <c r="E253" s="2">
        <v>30104446.18</v>
      </c>
      <c r="F253" s="2">
        <v>27952407.030000001</v>
      </c>
      <c r="G253" s="2">
        <v>3183770.1</v>
      </c>
    </row>
    <row r="254" spans="1:7" x14ac:dyDescent="0.25">
      <c r="A254" s="1">
        <v>44958</v>
      </c>
      <c r="B254" t="s">
        <v>33</v>
      </c>
      <c r="C254" t="s">
        <v>34</v>
      </c>
      <c r="D254" s="2">
        <v>342396833.14999998</v>
      </c>
      <c r="E254" s="2">
        <v>283004398.07999998</v>
      </c>
      <c r="F254" s="2">
        <v>282958137.13999999</v>
      </c>
      <c r="G254" s="2">
        <v>6414141.8300000001</v>
      </c>
    </row>
    <row r="255" spans="1:7" x14ac:dyDescent="0.25">
      <c r="A255" s="1">
        <v>44958</v>
      </c>
      <c r="B255" t="s">
        <v>29</v>
      </c>
      <c r="C255" t="s">
        <v>35</v>
      </c>
      <c r="D255" s="2">
        <v>21839346.039999999</v>
      </c>
      <c r="E255" s="2">
        <v>5872797.4299999997</v>
      </c>
      <c r="F255" s="2">
        <v>5872605.1699999999</v>
      </c>
      <c r="G255" s="2">
        <v>10889166.970000001</v>
      </c>
    </row>
    <row r="256" spans="1:7" x14ac:dyDescent="0.25">
      <c r="A256" s="1">
        <v>44958</v>
      </c>
      <c r="B256" t="s">
        <v>29</v>
      </c>
      <c r="C256" t="s">
        <v>36</v>
      </c>
      <c r="D256">
        <v>0</v>
      </c>
      <c r="E256" s="2">
        <v>127409.58</v>
      </c>
      <c r="F256" s="2">
        <v>123928.14</v>
      </c>
      <c r="G256" s="2">
        <v>91751.72</v>
      </c>
    </row>
    <row r="257" spans="1:7" x14ac:dyDescent="0.25">
      <c r="A257" s="1">
        <v>44958</v>
      </c>
      <c r="B257" t="s">
        <v>37</v>
      </c>
      <c r="C257" t="s">
        <v>38</v>
      </c>
      <c r="D257" s="2">
        <v>5632033.1500000004</v>
      </c>
      <c r="E257" s="2">
        <v>33457776.079999998</v>
      </c>
      <c r="F257" s="2">
        <v>34252281.090000004</v>
      </c>
      <c r="G257" s="2">
        <v>1102232.8</v>
      </c>
    </row>
    <row r="258" spans="1:7" x14ac:dyDescent="0.25">
      <c r="A258" s="1">
        <v>44958</v>
      </c>
      <c r="B258" t="s">
        <v>37</v>
      </c>
      <c r="C258" t="s">
        <v>39</v>
      </c>
      <c r="D258" s="2">
        <v>-9695908.1999999993</v>
      </c>
      <c r="E258" s="2">
        <v>36088502.43</v>
      </c>
      <c r="F258" s="2">
        <v>37137339.609999999</v>
      </c>
      <c r="G258" s="2">
        <v>849714.61</v>
      </c>
    </row>
    <row r="259" spans="1:7" x14ac:dyDescent="0.25">
      <c r="A259" s="1">
        <v>44958</v>
      </c>
      <c r="B259" t="s">
        <v>9</v>
      </c>
      <c r="C259" t="s">
        <v>40</v>
      </c>
      <c r="D259" s="2">
        <v>1161227.6299999999</v>
      </c>
      <c r="E259" s="2">
        <v>2251460.75</v>
      </c>
      <c r="F259" s="2">
        <v>2301017.2200000002</v>
      </c>
      <c r="G259" s="2">
        <v>892941.55</v>
      </c>
    </row>
    <row r="260" spans="1:7" x14ac:dyDescent="0.25">
      <c r="A260" s="1">
        <v>44958</v>
      </c>
      <c r="B260" t="s">
        <v>37</v>
      </c>
      <c r="C260" t="s">
        <v>41</v>
      </c>
      <c r="D260" s="2">
        <v>8841311.5800000001</v>
      </c>
      <c r="E260" s="2">
        <v>57672470.810000002</v>
      </c>
      <c r="F260" s="2">
        <v>52378170.469999999</v>
      </c>
      <c r="G260" s="2">
        <v>2661536.0299999998</v>
      </c>
    </row>
    <row r="261" spans="1:7" x14ac:dyDescent="0.25">
      <c r="A261" s="1">
        <v>44958</v>
      </c>
      <c r="B261" t="s">
        <v>29</v>
      </c>
      <c r="C261" t="s">
        <v>42</v>
      </c>
      <c r="D261" s="2">
        <v>2523450785.25</v>
      </c>
      <c r="E261" s="2">
        <v>1787965673.99</v>
      </c>
      <c r="F261" s="2">
        <v>1782367537.8699999</v>
      </c>
      <c r="G261" s="2">
        <v>217645191.63</v>
      </c>
    </row>
    <row r="262" spans="1:7" x14ac:dyDescent="0.25">
      <c r="A262" s="1">
        <v>44958</v>
      </c>
      <c r="B262" t="s">
        <v>29</v>
      </c>
      <c r="C262" t="s">
        <v>43</v>
      </c>
      <c r="D262" s="2">
        <v>338171154.45999998</v>
      </c>
      <c r="E262" s="2">
        <v>2089182528.3399999</v>
      </c>
      <c r="F262" s="2">
        <v>2062023836.78</v>
      </c>
      <c r="G262" s="2">
        <v>221408415.03999999</v>
      </c>
    </row>
    <row r="263" spans="1:7" x14ac:dyDescent="0.25">
      <c r="A263" s="1">
        <v>44958</v>
      </c>
      <c r="B263" t="s">
        <v>29</v>
      </c>
      <c r="C263" t="s">
        <v>44</v>
      </c>
      <c r="D263" s="2">
        <v>266997644.05000001</v>
      </c>
      <c r="E263" s="2">
        <v>3686600151.8400002</v>
      </c>
      <c r="F263" s="2">
        <v>3742923959.4400001</v>
      </c>
      <c r="G263" s="2">
        <v>250824205.12</v>
      </c>
    </row>
    <row r="264" spans="1:7" x14ac:dyDescent="0.25">
      <c r="A264" s="1">
        <v>44958</v>
      </c>
      <c r="B264" t="s">
        <v>45</v>
      </c>
      <c r="C264" t="s">
        <v>46</v>
      </c>
      <c r="D264" s="2">
        <v>7216918.7800000003</v>
      </c>
      <c r="E264" s="2">
        <v>16751227.09</v>
      </c>
      <c r="F264" s="2">
        <v>13929514.25</v>
      </c>
      <c r="G264" s="2">
        <v>2974339.88</v>
      </c>
    </row>
    <row r="265" spans="1:7" x14ac:dyDescent="0.25">
      <c r="A265" s="1">
        <v>44958</v>
      </c>
      <c r="B265" t="s">
        <v>9</v>
      </c>
      <c r="C265" t="s">
        <v>47</v>
      </c>
      <c r="D265" s="2">
        <v>32036249.010000002</v>
      </c>
      <c r="E265" s="2">
        <v>62907199.57</v>
      </c>
      <c r="F265" s="2">
        <v>62150734.009999998</v>
      </c>
      <c r="G265" s="2">
        <v>17278436.280000001</v>
      </c>
    </row>
    <row r="266" spans="1:7" x14ac:dyDescent="0.25">
      <c r="A266" s="1">
        <v>44958</v>
      </c>
      <c r="B266" t="s">
        <v>48</v>
      </c>
      <c r="C266" t="s">
        <v>49</v>
      </c>
      <c r="D266" s="2">
        <v>97684395.129999995</v>
      </c>
      <c r="E266" s="2">
        <v>77533328.670000002</v>
      </c>
      <c r="F266" s="2">
        <v>81039240.510000005</v>
      </c>
      <c r="G266" s="2">
        <v>14266553.390000001</v>
      </c>
    </row>
    <row r="267" spans="1:7" x14ac:dyDescent="0.25">
      <c r="A267" s="1">
        <v>44958</v>
      </c>
      <c r="B267" t="s">
        <v>50</v>
      </c>
      <c r="C267" t="s">
        <v>51</v>
      </c>
      <c r="D267" s="2">
        <v>43294863.549999997</v>
      </c>
      <c r="E267" s="2">
        <v>43774080.939999998</v>
      </c>
      <c r="F267" s="2">
        <v>73699445.75</v>
      </c>
      <c r="G267" s="2">
        <v>75818411.959999993</v>
      </c>
    </row>
    <row r="268" spans="1:7" x14ac:dyDescent="0.25">
      <c r="A268" s="1">
        <v>44958</v>
      </c>
      <c r="B268" t="s">
        <v>13</v>
      </c>
      <c r="C268" t="s">
        <v>52</v>
      </c>
      <c r="D268" s="2">
        <v>63870370.57</v>
      </c>
      <c r="E268" s="2">
        <v>44822406.450000003</v>
      </c>
      <c r="F268" s="2">
        <v>30479138.18</v>
      </c>
      <c r="G268" s="2">
        <v>8227920.6799999997</v>
      </c>
    </row>
    <row r="269" spans="1:7" x14ac:dyDescent="0.25">
      <c r="A269" s="1">
        <v>44958</v>
      </c>
      <c r="B269" t="s">
        <v>53</v>
      </c>
      <c r="C269" t="s">
        <v>54</v>
      </c>
      <c r="D269" s="2">
        <v>51520223.799999997</v>
      </c>
      <c r="E269" s="2">
        <v>93624451.689999998</v>
      </c>
      <c r="F269" s="2">
        <v>91598237.329999998</v>
      </c>
      <c r="G269" s="2">
        <v>26026533.649999999</v>
      </c>
    </row>
    <row r="270" spans="1:7" x14ac:dyDescent="0.25">
      <c r="A270" s="1">
        <v>44958</v>
      </c>
      <c r="B270" t="s">
        <v>31</v>
      </c>
      <c r="C270" t="s">
        <v>55</v>
      </c>
      <c r="D270" s="2">
        <v>2140952.84</v>
      </c>
      <c r="E270" s="2">
        <v>3014496.85</v>
      </c>
      <c r="F270" s="2">
        <v>2916115.06</v>
      </c>
      <c r="G270" s="2">
        <v>973729.04</v>
      </c>
    </row>
    <row r="271" spans="1:7" x14ac:dyDescent="0.25">
      <c r="A271" s="1">
        <v>44958</v>
      </c>
      <c r="B271" t="s">
        <v>9</v>
      </c>
      <c r="C271" t="s">
        <v>56</v>
      </c>
      <c r="D271" s="2">
        <v>64557690.43</v>
      </c>
      <c r="E271" s="2">
        <v>52689423.280000001</v>
      </c>
      <c r="F271" s="2">
        <v>49684693.719999999</v>
      </c>
      <c r="G271" s="2">
        <v>72674513.349999994</v>
      </c>
    </row>
    <row r="272" spans="1:7" x14ac:dyDescent="0.25">
      <c r="A272" s="1">
        <v>44958</v>
      </c>
      <c r="B272" t="s">
        <v>57</v>
      </c>
      <c r="C272" t="s">
        <v>58</v>
      </c>
      <c r="D272" s="2">
        <v>4439281.6500000004</v>
      </c>
      <c r="E272" s="2">
        <v>87515379.530000001</v>
      </c>
      <c r="F272" s="2">
        <v>88909786.609999999</v>
      </c>
      <c r="G272" s="2">
        <v>5989351.9100000001</v>
      </c>
    </row>
    <row r="273" spans="1:7" x14ac:dyDescent="0.25">
      <c r="A273" s="1">
        <v>44958</v>
      </c>
      <c r="B273" t="s">
        <v>19</v>
      </c>
      <c r="C273" t="s">
        <v>59</v>
      </c>
      <c r="D273" s="2">
        <v>2758983168.0599999</v>
      </c>
      <c r="E273" s="2">
        <v>78746777.269999996</v>
      </c>
      <c r="F273" s="2">
        <v>78536622.200000003</v>
      </c>
      <c r="G273" s="2">
        <v>502437456.99000001</v>
      </c>
    </row>
    <row r="274" spans="1:7" x14ac:dyDescent="0.25">
      <c r="A274" s="1">
        <v>44958</v>
      </c>
      <c r="B274" t="s">
        <v>50</v>
      </c>
      <c r="C274" t="s">
        <v>60</v>
      </c>
      <c r="D274" s="2">
        <v>56035691.670000002</v>
      </c>
      <c r="E274" s="2">
        <v>51688750.700000003</v>
      </c>
      <c r="F274" s="2">
        <v>51334099.969999999</v>
      </c>
      <c r="G274" s="2">
        <v>7523822.1100000003</v>
      </c>
    </row>
    <row r="275" spans="1:7" x14ac:dyDescent="0.25">
      <c r="A275" s="1">
        <v>44958</v>
      </c>
      <c r="B275" t="s">
        <v>61</v>
      </c>
      <c r="C275" t="s">
        <v>62</v>
      </c>
      <c r="D275" s="2">
        <v>286725656.92000002</v>
      </c>
      <c r="E275" s="2">
        <v>44705837.649999999</v>
      </c>
      <c r="F275" s="2">
        <v>37171157.490000002</v>
      </c>
      <c r="G275" s="2">
        <v>5845177.1900000004</v>
      </c>
    </row>
    <row r="276" spans="1:7" x14ac:dyDescent="0.25">
      <c r="A276" s="1">
        <v>44958</v>
      </c>
      <c r="B276" t="s">
        <v>63</v>
      </c>
      <c r="C276" t="s">
        <v>64</v>
      </c>
      <c r="D276" s="2">
        <v>14726056.67</v>
      </c>
      <c r="E276" s="2">
        <v>252471701.03</v>
      </c>
      <c r="F276" s="2">
        <v>260672265.58000001</v>
      </c>
      <c r="G276" s="2">
        <v>35200743.079999998</v>
      </c>
    </row>
    <row r="277" spans="1:7" x14ac:dyDescent="0.25">
      <c r="A277" s="1">
        <v>44958</v>
      </c>
      <c r="B277" t="s">
        <v>37</v>
      </c>
      <c r="C277" t="s">
        <v>65</v>
      </c>
      <c r="D277" s="2">
        <v>173684533.36000001</v>
      </c>
      <c r="E277" s="2">
        <v>618215346.87</v>
      </c>
      <c r="F277" s="2">
        <v>502782317.95999998</v>
      </c>
      <c r="G277" s="2">
        <v>124677289.47</v>
      </c>
    </row>
    <row r="278" spans="1:7" x14ac:dyDescent="0.25">
      <c r="A278" s="1">
        <v>44958</v>
      </c>
      <c r="B278" t="s">
        <v>13</v>
      </c>
      <c r="C278" t="s">
        <v>66</v>
      </c>
      <c r="D278" s="2">
        <v>4857838.8899999997</v>
      </c>
      <c r="E278" s="2">
        <v>7752112.3700000001</v>
      </c>
      <c r="F278" s="2">
        <v>9012155.2899999991</v>
      </c>
      <c r="G278" s="2">
        <v>2106803.5</v>
      </c>
    </row>
    <row r="279" spans="1:7" x14ac:dyDescent="0.25">
      <c r="A279" s="1">
        <v>44958</v>
      </c>
      <c r="B279" t="s">
        <v>48</v>
      </c>
      <c r="C279" t="s">
        <v>67</v>
      </c>
      <c r="D279" s="2">
        <v>23329335.899999999</v>
      </c>
      <c r="E279" s="2">
        <v>22064246.75</v>
      </c>
      <c r="F279" s="2">
        <v>19408577.489999998</v>
      </c>
      <c r="G279" s="2">
        <v>5493396.5300000003</v>
      </c>
    </row>
    <row r="280" spans="1:7" x14ac:dyDescent="0.25">
      <c r="A280" s="1">
        <v>44958</v>
      </c>
      <c r="B280" t="s">
        <v>9</v>
      </c>
      <c r="C280" t="s">
        <v>68</v>
      </c>
      <c r="D280" s="2">
        <v>78624.289999999994</v>
      </c>
      <c r="E280" s="2">
        <v>95097.33</v>
      </c>
      <c r="F280" s="2">
        <v>95097.33</v>
      </c>
      <c r="G280">
        <v>0</v>
      </c>
    </row>
    <row r="281" spans="1:7" x14ac:dyDescent="0.25">
      <c r="A281" s="1">
        <v>44958</v>
      </c>
      <c r="B281" t="s">
        <v>69</v>
      </c>
      <c r="C281" t="s">
        <v>70</v>
      </c>
      <c r="D281" s="2">
        <v>1626047.06</v>
      </c>
      <c r="E281" s="2">
        <v>878813.36</v>
      </c>
      <c r="F281" s="2">
        <v>853456.32</v>
      </c>
      <c r="G281" s="2">
        <v>42838.65</v>
      </c>
    </row>
    <row r="282" spans="1:7" x14ac:dyDescent="0.25">
      <c r="A282" s="1">
        <v>44958</v>
      </c>
      <c r="B282" t="s">
        <v>24</v>
      </c>
      <c r="C282" t="s">
        <v>71</v>
      </c>
      <c r="D282" s="2">
        <v>13218682.76</v>
      </c>
      <c r="E282" s="2">
        <v>5606860.7400000002</v>
      </c>
      <c r="F282" s="2">
        <v>5580533.6200000001</v>
      </c>
      <c r="G282" s="2">
        <v>1425357.71</v>
      </c>
    </row>
    <row r="283" spans="1:7" x14ac:dyDescent="0.25">
      <c r="A283" s="1">
        <v>44958</v>
      </c>
      <c r="B283" t="s">
        <v>24</v>
      </c>
      <c r="C283" t="s">
        <v>72</v>
      </c>
      <c r="D283" s="2">
        <v>40921910.890000001</v>
      </c>
      <c r="E283" s="2">
        <v>3329570.57</v>
      </c>
      <c r="F283" s="2">
        <v>3324632.06</v>
      </c>
      <c r="G283" s="2">
        <v>52323.95</v>
      </c>
    </row>
    <row r="284" spans="1:7" x14ac:dyDescent="0.25">
      <c r="A284" s="1">
        <v>44958</v>
      </c>
      <c r="B284" t="s">
        <v>37</v>
      </c>
      <c r="C284" t="s">
        <v>73</v>
      </c>
      <c r="D284" s="2">
        <v>331458341.19</v>
      </c>
      <c r="E284" s="2">
        <v>334726366.62</v>
      </c>
      <c r="F284" s="2">
        <v>127349336.65000001</v>
      </c>
      <c r="G284" s="2">
        <v>128088786.06</v>
      </c>
    </row>
    <row r="285" spans="1:7" x14ac:dyDescent="0.25">
      <c r="A285" s="1">
        <v>44958</v>
      </c>
      <c r="B285" t="s">
        <v>24</v>
      </c>
      <c r="C285" t="s">
        <v>74</v>
      </c>
      <c r="D285" s="2">
        <v>8230738.0700000003</v>
      </c>
      <c r="E285" s="2">
        <v>643614.38</v>
      </c>
      <c r="F285" s="2">
        <v>670078.53</v>
      </c>
      <c r="G285" s="2">
        <v>150912.57</v>
      </c>
    </row>
    <row r="286" spans="1:7" x14ac:dyDescent="0.25">
      <c r="A286" s="1">
        <v>44958</v>
      </c>
      <c r="B286" t="s">
        <v>75</v>
      </c>
      <c r="C286" t="s">
        <v>76</v>
      </c>
      <c r="D286" s="2">
        <v>4193325.82</v>
      </c>
      <c r="E286" s="2">
        <v>3886006.62</v>
      </c>
      <c r="F286" s="2">
        <v>3958240.13</v>
      </c>
      <c r="G286" s="2">
        <v>2649632.7999999998</v>
      </c>
    </row>
    <row r="287" spans="1:7" x14ac:dyDescent="0.25">
      <c r="A287" s="1">
        <v>44958</v>
      </c>
      <c r="B287" t="s">
        <v>77</v>
      </c>
      <c r="C287" t="s">
        <v>78</v>
      </c>
      <c r="D287" s="2">
        <v>676148320.41999996</v>
      </c>
      <c r="E287" s="2">
        <v>219939372.30000001</v>
      </c>
      <c r="F287" s="2">
        <v>216218647.77000001</v>
      </c>
      <c r="G287" s="2">
        <v>119219351.72</v>
      </c>
    </row>
    <row r="288" spans="1:7" x14ac:dyDescent="0.25">
      <c r="A288" s="1">
        <v>44958</v>
      </c>
      <c r="B288" t="s">
        <v>37</v>
      </c>
      <c r="C288" t="s">
        <v>79</v>
      </c>
      <c r="D288" s="2">
        <v>19002245.809999999</v>
      </c>
      <c r="E288" s="2">
        <v>9026367.5500000007</v>
      </c>
      <c r="F288" s="2">
        <v>8644666.5500000007</v>
      </c>
      <c r="G288" s="2">
        <v>657745.1</v>
      </c>
    </row>
    <row r="289" spans="1:7" x14ac:dyDescent="0.25">
      <c r="A289" s="1">
        <v>44958</v>
      </c>
      <c r="B289" t="s">
        <v>80</v>
      </c>
      <c r="C289" t="s">
        <v>81</v>
      </c>
      <c r="D289" s="2">
        <v>2218776.4500000002</v>
      </c>
      <c r="E289" s="2">
        <v>7064923.6699999999</v>
      </c>
      <c r="F289" s="2">
        <v>7084470.0099999998</v>
      </c>
      <c r="G289" s="2">
        <v>240941.73</v>
      </c>
    </row>
    <row r="290" spans="1:7" x14ac:dyDescent="0.25">
      <c r="A290" s="1">
        <v>44958</v>
      </c>
      <c r="B290" t="s">
        <v>24</v>
      </c>
      <c r="C290" t="s">
        <v>82</v>
      </c>
      <c r="D290" s="2">
        <v>-821221.58</v>
      </c>
      <c r="E290" s="2">
        <v>4646857.16</v>
      </c>
      <c r="F290" s="2">
        <v>4490735.2</v>
      </c>
      <c r="G290" s="2">
        <v>3698172.78</v>
      </c>
    </row>
    <row r="291" spans="1:7" x14ac:dyDescent="0.25">
      <c r="A291" s="1">
        <v>44958</v>
      </c>
      <c r="B291" t="s">
        <v>16</v>
      </c>
      <c r="C291" t="s">
        <v>83</v>
      </c>
      <c r="D291" s="2">
        <v>138460237.46000001</v>
      </c>
      <c r="E291" s="2">
        <v>139993241.75999999</v>
      </c>
      <c r="F291" s="2">
        <v>138120281.78</v>
      </c>
      <c r="G291" s="2">
        <v>28599326.800000001</v>
      </c>
    </row>
    <row r="292" spans="1:7" x14ac:dyDescent="0.25">
      <c r="A292" s="1">
        <v>44958</v>
      </c>
      <c r="B292" t="s">
        <v>84</v>
      </c>
      <c r="C292" t="s">
        <v>85</v>
      </c>
      <c r="D292" s="2">
        <v>20301219.07</v>
      </c>
      <c r="E292" s="2">
        <v>37535831.530000001</v>
      </c>
      <c r="F292" s="2">
        <v>36066387.82</v>
      </c>
      <c r="G292" s="2">
        <v>8294600.8399999999</v>
      </c>
    </row>
    <row r="293" spans="1:7" x14ac:dyDescent="0.25">
      <c r="A293" s="1">
        <v>44958</v>
      </c>
      <c r="B293" t="s">
        <v>84</v>
      </c>
      <c r="C293" t="s">
        <v>86</v>
      </c>
      <c r="D293" s="2">
        <v>56186.99</v>
      </c>
      <c r="E293">
        <v>0</v>
      </c>
      <c r="F293">
        <v>0</v>
      </c>
      <c r="G293" s="2">
        <v>31947.21</v>
      </c>
    </row>
    <row r="294" spans="1:7" x14ac:dyDescent="0.25">
      <c r="A294" s="1">
        <v>44958</v>
      </c>
      <c r="B294" t="s">
        <v>16</v>
      </c>
      <c r="C294" t="s">
        <v>87</v>
      </c>
      <c r="D294" s="2">
        <v>1075901823.0699999</v>
      </c>
      <c r="E294" s="2">
        <v>302875255.36000001</v>
      </c>
      <c r="F294" s="2">
        <v>184235298</v>
      </c>
      <c r="G294" s="2">
        <v>318056691.62</v>
      </c>
    </row>
    <row r="295" spans="1:7" x14ac:dyDescent="0.25">
      <c r="A295" s="1">
        <v>44958</v>
      </c>
      <c r="B295" t="s">
        <v>29</v>
      </c>
      <c r="C295" t="s">
        <v>88</v>
      </c>
      <c r="D295" s="2">
        <v>44105.78</v>
      </c>
      <c r="E295" s="2">
        <v>2110797.0099999998</v>
      </c>
      <c r="F295" s="2">
        <v>2132612.25</v>
      </c>
      <c r="G295">
        <v>0</v>
      </c>
    </row>
    <row r="296" spans="1:7" x14ac:dyDescent="0.25">
      <c r="A296" s="1">
        <v>44958</v>
      </c>
      <c r="B296" t="s">
        <v>37</v>
      </c>
      <c r="C296" t="s">
        <v>89</v>
      </c>
      <c r="D296" s="2">
        <v>10096374.85</v>
      </c>
      <c r="E296" s="2">
        <v>143894711.03999999</v>
      </c>
      <c r="F296" s="2">
        <v>144370343.59999999</v>
      </c>
      <c r="G296" s="2">
        <v>25379586.690000001</v>
      </c>
    </row>
    <row r="297" spans="1:7" x14ac:dyDescent="0.25">
      <c r="A297" s="1">
        <v>44958</v>
      </c>
      <c r="B297" t="s">
        <v>37</v>
      </c>
      <c r="C297" t="s">
        <v>90</v>
      </c>
      <c r="D297" s="2">
        <v>10299284.35</v>
      </c>
      <c r="E297" s="2">
        <v>69951281.730000004</v>
      </c>
      <c r="F297" s="2">
        <v>62150899.670000002</v>
      </c>
      <c r="G297" s="2">
        <v>6207094.8600000003</v>
      </c>
    </row>
    <row r="298" spans="1:7" x14ac:dyDescent="0.25">
      <c r="A298" s="1">
        <v>44958</v>
      </c>
      <c r="B298" t="s">
        <v>37</v>
      </c>
      <c r="C298" t="s">
        <v>91</v>
      </c>
      <c r="D298" s="2">
        <v>21383904.850000001</v>
      </c>
      <c r="E298" s="2">
        <v>79383095.239999995</v>
      </c>
      <c r="F298" s="2">
        <v>71354816.920000002</v>
      </c>
      <c r="G298" s="2">
        <v>2449462.7599999998</v>
      </c>
    </row>
    <row r="299" spans="1:7" x14ac:dyDescent="0.25">
      <c r="A299" s="1">
        <v>44958</v>
      </c>
      <c r="B299" t="s">
        <v>37</v>
      </c>
      <c r="C299" t="s">
        <v>92</v>
      </c>
      <c r="D299" s="2">
        <v>5602192.8600000003</v>
      </c>
      <c r="E299" s="2">
        <v>20960564.079999998</v>
      </c>
      <c r="F299" s="2">
        <v>20871118.949999999</v>
      </c>
      <c r="G299" s="2">
        <v>1468290.03</v>
      </c>
    </row>
    <row r="300" spans="1:7" x14ac:dyDescent="0.25">
      <c r="A300" s="1">
        <v>44958</v>
      </c>
      <c r="B300" t="s">
        <v>37</v>
      </c>
      <c r="C300" t="s">
        <v>93</v>
      </c>
      <c r="D300" s="2">
        <v>4884327.8099999996</v>
      </c>
      <c r="E300" s="2">
        <v>12734446.449999999</v>
      </c>
      <c r="F300" s="2">
        <v>13323923.25</v>
      </c>
      <c r="G300" s="2">
        <v>2006693.61</v>
      </c>
    </row>
    <row r="301" spans="1:7" x14ac:dyDescent="0.25">
      <c r="A301" s="1">
        <v>44958</v>
      </c>
      <c r="B301" t="s">
        <v>37</v>
      </c>
      <c r="C301" t="s">
        <v>94</v>
      </c>
      <c r="D301" s="2">
        <v>7937649.6200000001</v>
      </c>
      <c r="E301" s="2">
        <v>67400785.510000005</v>
      </c>
      <c r="F301" s="2">
        <v>64141832.399999999</v>
      </c>
      <c r="G301" s="2">
        <v>1756454.71</v>
      </c>
    </row>
    <row r="302" spans="1:7" x14ac:dyDescent="0.25">
      <c r="A302" s="1">
        <v>44958</v>
      </c>
      <c r="B302" t="s">
        <v>37</v>
      </c>
      <c r="C302" t="s">
        <v>95</v>
      </c>
      <c r="D302" s="2">
        <v>1880427.73</v>
      </c>
      <c r="E302" s="2">
        <v>21686885.579999998</v>
      </c>
      <c r="F302" s="2">
        <v>21660689.59</v>
      </c>
      <c r="G302" s="2">
        <v>1769470.96</v>
      </c>
    </row>
    <row r="303" spans="1:7" x14ac:dyDescent="0.25">
      <c r="A303" s="1">
        <v>44958</v>
      </c>
      <c r="B303" t="s">
        <v>37</v>
      </c>
      <c r="C303" t="s">
        <v>96</v>
      </c>
      <c r="D303" s="2">
        <v>20068775.66</v>
      </c>
      <c r="E303" s="2">
        <v>64759161.280000001</v>
      </c>
      <c r="F303" s="2">
        <v>60880780.57</v>
      </c>
      <c r="G303" s="2">
        <v>9769839.0999999996</v>
      </c>
    </row>
    <row r="304" spans="1:7" x14ac:dyDescent="0.25">
      <c r="A304" s="1">
        <v>44958</v>
      </c>
      <c r="B304" t="s">
        <v>37</v>
      </c>
      <c r="C304" t="s">
        <v>97</v>
      </c>
      <c r="D304" s="2">
        <v>55088389.520000003</v>
      </c>
      <c r="E304" s="2">
        <v>52955703.950000003</v>
      </c>
      <c r="F304" s="2">
        <v>51296869.729999997</v>
      </c>
      <c r="G304" s="2">
        <v>6876967.7599999998</v>
      </c>
    </row>
    <row r="305" spans="1:7" x14ac:dyDescent="0.25">
      <c r="A305" s="1">
        <v>44958</v>
      </c>
      <c r="B305" t="s">
        <v>37</v>
      </c>
      <c r="C305" t="s">
        <v>98</v>
      </c>
      <c r="D305" s="2">
        <v>3470011.64</v>
      </c>
      <c r="E305" s="2">
        <v>26589263.75</v>
      </c>
      <c r="F305" s="2">
        <v>25561912.280000001</v>
      </c>
      <c r="G305" s="2">
        <v>3998850.81</v>
      </c>
    </row>
    <row r="306" spans="1:7" x14ac:dyDescent="0.25">
      <c r="A306" s="1">
        <v>44958</v>
      </c>
      <c r="B306" t="s">
        <v>37</v>
      </c>
      <c r="C306" t="s">
        <v>99</v>
      </c>
      <c r="D306" s="2">
        <v>9418231.5700000003</v>
      </c>
      <c r="E306" s="2">
        <v>116470435.86</v>
      </c>
      <c r="F306" s="2">
        <v>119084645.55</v>
      </c>
      <c r="G306" s="2">
        <v>10406190.369999999</v>
      </c>
    </row>
    <row r="307" spans="1:7" x14ac:dyDescent="0.25">
      <c r="A307" s="1">
        <v>44958</v>
      </c>
      <c r="B307" t="s">
        <v>37</v>
      </c>
      <c r="C307" t="s">
        <v>100</v>
      </c>
      <c r="D307" s="2">
        <v>27108349.640000001</v>
      </c>
      <c r="E307" s="2">
        <v>22285218.940000001</v>
      </c>
      <c r="F307" s="2">
        <v>22687557.949999999</v>
      </c>
      <c r="G307" s="2">
        <v>2976705.83</v>
      </c>
    </row>
    <row r="308" spans="1:7" x14ac:dyDescent="0.25">
      <c r="A308" s="1">
        <v>44958</v>
      </c>
      <c r="B308" t="s">
        <v>37</v>
      </c>
      <c r="C308" t="s">
        <v>101</v>
      </c>
      <c r="D308" s="2">
        <v>6417906.0599999996</v>
      </c>
      <c r="E308" s="2">
        <v>29966046.289999999</v>
      </c>
      <c r="F308" s="2">
        <v>27578152.890000001</v>
      </c>
      <c r="G308" s="2">
        <v>2773849.68</v>
      </c>
    </row>
    <row r="309" spans="1:7" x14ac:dyDescent="0.25">
      <c r="A309" s="1">
        <v>44958</v>
      </c>
      <c r="B309" t="s">
        <v>37</v>
      </c>
      <c r="C309" t="s">
        <v>102</v>
      </c>
      <c r="D309" s="2">
        <v>9522374.1300000008</v>
      </c>
      <c r="E309" s="2">
        <v>15888647.26</v>
      </c>
      <c r="F309" s="2">
        <v>15195972.35</v>
      </c>
      <c r="G309" s="2">
        <v>1860551.43</v>
      </c>
    </row>
    <row r="310" spans="1:7" x14ac:dyDescent="0.25">
      <c r="A310" s="1">
        <v>44958</v>
      </c>
      <c r="B310" t="s">
        <v>37</v>
      </c>
      <c r="C310" t="s">
        <v>103</v>
      </c>
      <c r="D310" s="2">
        <v>5072343.71</v>
      </c>
      <c r="E310" s="2">
        <v>69412670.739999995</v>
      </c>
      <c r="F310" s="2">
        <v>66363960.509999998</v>
      </c>
      <c r="G310" s="2">
        <v>6402029.4699999997</v>
      </c>
    </row>
    <row r="311" spans="1:7" x14ac:dyDescent="0.25">
      <c r="A311" s="1">
        <v>44958</v>
      </c>
      <c r="B311" t="s">
        <v>37</v>
      </c>
      <c r="C311" t="s">
        <v>104</v>
      </c>
      <c r="D311" s="2">
        <v>9192623.4900000002</v>
      </c>
      <c r="E311" s="2">
        <v>72957918.870000005</v>
      </c>
      <c r="F311" s="2">
        <v>68540240.709999993</v>
      </c>
      <c r="G311" s="2">
        <v>4519715.32</v>
      </c>
    </row>
    <row r="312" spans="1:7" x14ac:dyDescent="0.25">
      <c r="A312" s="1">
        <v>44958</v>
      </c>
      <c r="B312" t="s">
        <v>37</v>
      </c>
      <c r="C312" t="s">
        <v>105</v>
      </c>
      <c r="D312" s="2">
        <v>2928195.54</v>
      </c>
      <c r="E312" s="2">
        <v>27111392.73</v>
      </c>
      <c r="F312" s="2">
        <v>29566509.18</v>
      </c>
      <c r="G312" s="2">
        <v>2600447.02</v>
      </c>
    </row>
    <row r="313" spans="1:7" x14ac:dyDescent="0.25">
      <c r="A313" s="1">
        <v>44958</v>
      </c>
      <c r="B313" t="s">
        <v>37</v>
      </c>
      <c r="C313" t="s">
        <v>106</v>
      </c>
      <c r="D313" s="2">
        <v>28963930.239999998</v>
      </c>
      <c r="E313" s="2">
        <v>62409956.590000004</v>
      </c>
      <c r="F313" s="2">
        <v>57465283.329999998</v>
      </c>
      <c r="G313" s="2">
        <v>8129824.5700000003</v>
      </c>
    </row>
    <row r="314" spans="1:7" x14ac:dyDescent="0.25">
      <c r="A314" s="1">
        <v>44958</v>
      </c>
      <c r="B314" t="s">
        <v>37</v>
      </c>
      <c r="C314" t="s">
        <v>107</v>
      </c>
      <c r="D314" s="2">
        <v>5665706.0899999999</v>
      </c>
      <c r="E314" s="2">
        <v>27939486.25</v>
      </c>
      <c r="F314" s="2">
        <v>27261432.280000001</v>
      </c>
      <c r="G314" s="2">
        <v>3184066.42</v>
      </c>
    </row>
    <row r="315" spans="1:7" x14ac:dyDescent="0.25">
      <c r="A315" s="1">
        <v>44958</v>
      </c>
      <c r="B315" t="s">
        <v>37</v>
      </c>
      <c r="C315" t="s">
        <v>108</v>
      </c>
      <c r="D315" s="2">
        <v>8204977.4000000004</v>
      </c>
      <c r="E315" s="2">
        <v>17047702.219999999</v>
      </c>
      <c r="F315" s="2">
        <v>15491915.4</v>
      </c>
      <c r="G315" s="2">
        <v>5412332.46</v>
      </c>
    </row>
    <row r="316" spans="1:7" x14ac:dyDescent="0.25">
      <c r="A316" s="1">
        <v>44958</v>
      </c>
      <c r="B316" t="s">
        <v>50</v>
      </c>
      <c r="C316" t="s">
        <v>109</v>
      </c>
      <c r="D316">
        <v>0</v>
      </c>
      <c r="E316" s="2">
        <v>337929909.55000001</v>
      </c>
      <c r="F316" s="2">
        <v>337929909.55000001</v>
      </c>
      <c r="G316" s="2">
        <v>195346995.74000001</v>
      </c>
    </row>
    <row r="317" spans="1:7" x14ac:dyDescent="0.25">
      <c r="A317" s="1">
        <v>44958</v>
      </c>
      <c r="B317" t="s">
        <v>50</v>
      </c>
      <c r="C317" t="s">
        <v>110</v>
      </c>
      <c r="D317">
        <v>0</v>
      </c>
      <c r="E317" s="2">
        <v>568916368.25</v>
      </c>
      <c r="F317" s="2">
        <v>568916368.25</v>
      </c>
      <c r="G317" s="2">
        <v>619904405.26999998</v>
      </c>
    </row>
    <row r="318" spans="1:7" x14ac:dyDescent="0.25">
      <c r="A318" s="1">
        <v>44958</v>
      </c>
      <c r="B318" t="s">
        <v>50</v>
      </c>
      <c r="C318" t="s">
        <v>111</v>
      </c>
      <c r="D318">
        <v>0</v>
      </c>
      <c r="E318" s="2">
        <v>529161229.26999998</v>
      </c>
      <c r="F318" s="2">
        <v>529161229.26999998</v>
      </c>
      <c r="G318" s="2">
        <v>-128386737.17</v>
      </c>
    </row>
    <row r="319" spans="1:7" x14ac:dyDescent="0.25">
      <c r="A319" s="1">
        <v>44958</v>
      </c>
      <c r="B319" t="s">
        <v>45</v>
      </c>
      <c r="C319" t="s">
        <v>112</v>
      </c>
      <c r="D319" s="2">
        <v>1922355276.01</v>
      </c>
      <c r="E319" s="2">
        <v>1704922316.1700001</v>
      </c>
      <c r="F319" s="2">
        <v>1679842605.5599999</v>
      </c>
      <c r="G319" s="2">
        <v>72500973.200000003</v>
      </c>
    </row>
    <row r="320" spans="1:7" x14ac:dyDescent="0.25">
      <c r="A320" s="1">
        <v>44958</v>
      </c>
      <c r="B320" t="s">
        <v>11</v>
      </c>
      <c r="C320" t="s">
        <v>113</v>
      </c>
      <c r="D320" s="2">
        <v>49228.72</v>
      </c>
      <c r="E320" s="2">
        <v>50714.76</v>
      </c>
      <c r="F320" s="2">
        <v>50714.76</v>
      </c>
      <c r="G320">
        <v>327.19</v>
      </c>
    </row>
    <row r="321" spans="1:7" x14ac:dyDescent="0.25">
      <c r="A321" s="1">
        <v>44958</v>
      </c>
      <c r="B321" t="s">
        <v>80</v>
      </c>
      <c r="C321" t="s">
        <v>114</v>
      </c>
      <c r="D321" s="2">
        <v>9402009643.8299999</v>
      </c>
      <c r="E321" s="2">
        <v>9402009643.8299999</v>
      </c>
      <c r="F321" s="2">
        <v>9402009643.8299999</v>
      </c>
      <c r="G321" s="2">
        <v>87937408.879999995</v>
      </c>
    </row>
    <row r="322" spans="1:7" x14ac:dyDescent="0.25">
      <c r="A322" s="1">
        <v>44958</v>
      </c>
      <c r="B322" t="s">
        <v>45</v>
      </c>
      <c r="C322" t="s">
        <v>115</v>
      </c>
      <c r="D322" s="2">
        <v>17637997.57</v>
      </c>
      <c r="E322" s="2">
        <v>17637997.57</v>
      </c>
      <c r="F322" s="2">
        <v>29672484.399999999</v>
      </c>
      <c r="G322" s="2">
        <v>26875400.640000001</v>
      </c>
    </row>
    <row r="323" spans="1:7" x14ac:dyDescent="0.25">
      <c r="A323" s="1">
        <v>44958</v>
      </c>
      <c r="B323" t="s">
        <v>63</v>
      </c>
      <c r="C323" t="s">
        <v>116</v>
      </c>
      <c r="D323" s="2">
        <v>40000</v>
      </c>
      <c r="E323" s="2">
        <v>33969.870000000003</v>
      </c>
      <c r="F323" s="2">
        <v>33969.870000000003</v>
      </c>
      <c r="G323" s="2">
        <v>128204192.86</v>
      </c>
    </row>
    <row r="324" spans="1:7" x14ac:dyDescent="0.25">
      <c r="A324" s="1">
        <v>44958</v>
      </c>
      <c r="B324" t="s">
        <v>31</v>
      </c>
      <c r="C324" t="s">
        <v>117</v>
      </c>
      <c r="D324">
        <v>0</v>
      </c>
      <c r="E324">
        <v>0</v>
      </c>
      <c r="F324">
        <v>0</v>
      </c>
      <c r="G324" s="2">
        <v>3216534.89</v>
      </c>
    </row>
    <row r="325" spans="1:7" x14ac:dyDescent="0.25">
      <c r="A325" s="1">
        <v>44958</v>
      </c>
      <c r="B325" t="s">
        <v>50</v>
      </c>
      <c r="C325" t="s">
        <v>119</v>
      </c>
      <c r="D325">
        <v>0</v>
      </c>
      <c r="E325">
        <v>0</v>
      </c>
      <c r="F325">
        <v>0</v>
      </c>
      <c r="G325" s="2">
        <v>190343054.36000001</v>
      </c>
    </row>
    <row r="326" spans="1:7" x14ac:dyDescent="0.25">
      <c r="A326" s="1">
        <v>44958</v>
      </c>
      <c r="B326" t="s">
        <v>45</v>
      </c>
      <c r="C326" t="s">
        <v>120</v>
      </c>
      <c r="D326">
        <v>-3.37</v>
      </c>
      <c r="E326" s="2">
        <v>430918.44</v>
      </c>
      <c r="F326" s="2">
        <v>430921.81</v>
      </c>
      <c r="G326">
        <v>0</v>
      </c>
    </row>
    <row r="327" spans="1:7" x14ac:dyDescent="0.25">
      <c r="A327" s="1">
        <v>44958</v>
      </c>
      <c r="B327" t="s">
        <v>45</v>
      </c>
      <c r="C327" t="s">
        <v>121</v>
      </c>
      <c r="D327" s="2">
        <v>10924521.49</v>
      </c>
      <c r="E327" s="2">
        <v>10859768.66</v>
      </c>
      <c r="F327" s="2">
        <v>10859768.66</v>
      </c>
      <c r="G327" s="2">
        <v>236478887.18000001</v>
      </c>
    </row>
    <row r="328" spans="1:7" x14ac:dyDescent="0.25">
      <c r="A328" s="1">
        <v>44958</v>
      </c>
      <c r="B328" t="s">
        <v>61</v>
      </c>
      <c r="C328" t="s">
        <v>122</v>
      </c>
      <c r="D328" s="2">
        <v>8010174.0899999999</v>
      </c>
      <c r="E328" s="2">
        <v>1845190.38</v>
      </c>
      <c r="F328" s="2">
        <v>1687571.58</v>
      </c>
      <c r="G328" s="2">
        <v>3213780.84</v>
      </c>
    </row>
    <row r="329" spans="1:7" x14ac:dyDescent="0.25">
      <c r="A329" s="1">
        <v>44958</v>
      </c>
      <c r="B329" t="s">
        <v>29</v>
      </c>
      <c r="C329" t="s">
        <v>124</v>
      </c>
      <c r="D329" s="2">
        <v>164920760.59</v>
      </c>
      <c r="E329" s="2">
        <v>122392969.14</v>
      </c>
      <c r="F329" s="2">
        <v>101478124.13</v>
      </c>
      <c r="G329" s="2">
        <v>118270513.51000001</v>
      </c>
    </row>
    <row r="330" spans="1:7" x14ac:dyDescent="0.25">
      <c r="A330" s="1">
        <v>44958</v>
      </c>
      <c r="B330" t="s">
        <v>125</v>
      </c>
      <c r="C330" t="s">
        <v>126</v>
      </c>
      <c r="D330" s="2">
        <v>4437024703.1499996</v>
      </c>
      <c r="E330" s="2">
        <v>64195924508.150002</v>
      </c>
      <c r="F330" s="2">
        <v>63761537666.209999</v>
      </c>
      <c r="G330" s="2">
        <v>494301806.67000002</v>
      </c>
    </row>
    <row r="331" spans="1:7" x14ac:dyDescent="0.25">
      <c r="A331" s="1">
        <v>44958</v>
      </c>
      <c r="B331" t="s">
        <v>127</v>
      </c>
      <c r="C331" t="s">
        <v>128</v>
      </c>
      <c r="D331">
        <v>0</v>
      </c>
      <c r="E331">
        <v>0</v>
      </c>
      <c r="F331">
        <v>0</v>
      </c>
      <c r="G331" s="2">
        <v>152675484.78</v>
      </c>
    </row>
    <row r="332" spans="1:7" x14ac:dyDescent="0.25">
      <c r="A332" s="1">
        <v>44958</v>
      </c>
      <c r="B332" t="s">
        <v>31</v>
      </c>
      <c r="C332" t="s">
        <v>129</v>
      </c>
      <c r="D332" s="2">
        <v>572628.06999999995</v>
      </c>
      <c r="E332" s="2">
        <v>9464.02</v>
      </c>
      <c r="F332" s="2">
        <v>9464.02</v>
      </c>
      <c r="G332" s="2">
        <v>1463206.12</v>
      </c>
    </row>
    <row r="333" spans="1:7" x14ac:dyDescent="0.25">
      <c r="A333" s="1">
        <v>44958</v>
      </c>
      <c r="B333" t="s">
        <v>130</v>
      </c>
      <c r="C333" t="s">
        <v>131</v>
      </c>
      <c r="D333" s="2">
        <v>170158815.09</v>
      </c>
      <c r="E333" s="2">
        <v>170038815.09</v>
      </c>
      <c r="F333" s="2">
        <v>170038815.09</v>
      </c>
      <c r="G333" s="2">
        <v>74582074.790000007</v>
      </c>
    </row>
    <row r="334" spans="1:7" x14ac:dyDescent="0.25">
      <c r="A334" s="1">
        <v>44958</v>
      </c>
      <c r="B334" t="s">
        <v>9</v>
      </c>
      <c r="C334" t="s">
        <v>135</v>
      </c>
      <c r="D334" s="2">
        <v>458585585.83999997</v>
      </c>
      <c r="E334" s="2">
        <v>415953594.22000003</v>
      </c>
      <c r="F334" s="2">
        <v>81314188.489999995</v>
      </c>
      <c r="G334" s="2">
        <v>8412987.6799999997</v>
      </c>
    </row>
    <row r="335" spans="1:7" x14ac:dyDescent="0.25">
      <c r="A335" s="1">
        <v>44958</v>
      </c>
      <c r="B335" t="s">
        <v>37</v>
      </c>
      <c r="C335" t="s">
        <v>136</v>
      </c>
      <c r="D335" s="2">
        <v>22504075500.16</v>
      </c>
      <c r="E335" s="2">
        <v>4553927078.6300001</v>
      </c>
      <c r="F335" s="2">
        <v>4554058069.79</v>
      </c>
      <c r="G335" s="2">
        <v>618760090.41999996</v>
      </c>
    </row>
    <row r="336" spans="1:7" x14ac:dyDescent="0.25">
      <c r="A336" s="1">
        <v>44958</v>
      </c>
      <c r="B336" t="s">
        <v>31</v>
      </c>
      <c r="C336" t="s">
        <v>138</v>
      </c>
      <c r="D336" s="2">
        <v>178680284.97</v>
      </c>
      <c r="E336" s="2">
        <v>37414077.75</v>
      </c>
      <c r="F336" s="2">
        <v>36737645.159999996</v>
      </c>
      <c r="G336" s="2">
        <v>18389446.440000001</v>
      </c>
    </row>
    <row r="337" spans="1:7" x14ac:dyDescent="0.25">
      <c r="A337" s="1">
        <v>44958</v>
      </c>
      <c r="B337" t="s">
        <v>140</v>
      </c>
      <c r="C337" t="s">
        <v>141</v>
      </c>
      <c r="D337">
        <v>0</v>
      </c>
      <c r="E337">
        <v>0</v>
      </c>
      <c r="F337">
        <v>0</v>
      </c>
      <c r="G337" s="2">
        <v>3593079</v>
      </c>
    </row>
    <row r="338" spans="1:7" x14ac:dyDescent="0.25">
      <c r="A338" s="1">
        <v>44958</v>
      </c>
      <c r="B338" t="s">
        <v>27</v>
      </c>
      <c r="C338" t="s">
        <v>142</v>
      </c>
      <c r="D338">
        <v>0</v>
      </c>
      <c r="E338">
        <v>0</v>
      </c>
      <c r="F338">
        <v>0</v>
      </c>
      <c r="G338" s="2">
        <v>3216727.02</v>
      </c>
    </row>
    <row r="339" spans="1:7" x14ac:dyDescent="0.25">
      <c r="A339" s="1">
        <v>44958</v>
      </c>
      <c r="B339" t="s">
        <v>31</v>
      </c>
      <c r="C339" t="s">
        <v>143</v>
      </c>
      <c r="D339" s="2">
        <v>11569243.82</v>
      </c>
      <c r="E339" s="2">
        <v>5660125.8700000001</v>
      </c>
      <c r="F339" s="2">
        <v>5329774.54</v>
      </c>
      <c r="G339" s="2">
        <v>10235159.41</v>
      </c>
    </row>
    <row r="340" spans="1:7" x14ac:dyDescent="0.25">
      <c r="A340" s="1">
        <v>44958</v>
      </c>
      <c r="B340" t="s">
        <v>61</v>
      </c>
      <c r="C340" t="s">
        <v>144</v>
      </c>
      <c r="D340" s="2">
        <v>-431289.08</v>
      </c>
      <c r="E340" s="2">
        <v>841083.33</v>
      </c>
      <c r="F340" s="2">
        <v>1241103.27</v>
      </c>
      <c r="G340" s="2">
        <v>15881.53</v>
      </c>
    </row>
    <row r="341" spans="1:7" x14ac:dyDescent="0.25">
      <c r="A341" s="1">
        <v>44958</v>
      </c>
      <c r="B341" t="s">
        <v>37</v>
      </c>
      <c r="C341" t="s">
        <v>145</v>
      </c>
      <c r="D341" s="2">
        <v>140202621.94</v>
      </c>
      <c r="E341" s="2">
        <v>130229611.90000001</v>
      </c>
      <c r="F341" s="2">
        <v>145426659.49000001</v>
      </c>
      <c r="G341" s="2">
        <v>12464717.85</v>
      </c>
    </row>
    <row r="342" spans="1:7" x14ac:dyDescent="0.25">
      <c r="A342" s="1">
        <v>44958</v>
      </c>
      <c r="B342" t="s">
        <v>16</v>
      </c>
      <c r="C342" t="s">
        <v>146</v>
      </c>
      <c r="D342" s="2">
        <v>136222098.25</v>
      </c>
      <c r="E342" s="2">
        <v>126806860.48999999</v>
      </c>
      <c r="F342" s="2">
        <v>118023019.65000001</v>
      </c>
      <c r="G342" s="2">
        <v>10432657.76</v>
      </c>
    </row>
    <row r="343" spans="1:7" x14ac:dyDescent="0.25">
      <c r="A343" s="1">
        <v>44958</v>
      </c>
      <c r="B343" t="s">
        <v>29</v>
      </c>
      <c r="C343" t="s">
        <v>147</v>
      </c>
      <c r="D343" s="2">
        <v>2595007.7200000002</v>
      </c>
      <c r="E343" s="2">
        <v>10169691.789999999</v>
      </c>
      <c r="F343" s="2">
        <v>12138740.01</v>
      </c>
      <c r="G343" s="2">
        <v>11862201.550000001</v>
      </c>
    </row>
    <row r="344" spans="1:7" x14ac:dyDescent="0.25">
      <c r="A344" s="1">
        <v>44958</v>
      </c>
      <c r="B344" t="s">
        <v>24</v>
      </c>
      <c r="C344" t="s">
        <v>148</v>
      </c>
      <c r="D344" s="2">
        <v>19684617.34</v>
      </c>
      <c r="E344" s="2">
        <v>8330284.5300000003</v>
      </c>
      <c r="F344" s="2">
        <v>5445448.5599999996</v>
      </c>
      <c r="G344" s="2">
        <v>3231960.35</v>
      </c>
    </row>
    <row r="345" spans="1:7" x14ac:dyDescent="0.25">
      <c r="A345" s="1">
        <v>44958</v>
      </c>
      <c r="B345" t="s">
        <v>22</v>
      </c>
      <c r="C345" t="s">
        <v>149</v>
      </c>
      <c r="D345" s="2">
        <v>23188320.57</v>
      </c>
      <c r="E345" s="2">
        <v>103858302.92</v>
      </c>
      <c r="F345" s="2">
        <v>99797405.299999997</v>
      </c>
      <c r="G345" s="2">
        <v>16757196.48</v>
      </c>
    </row>
    <row r="346" spans="1:7" x14ac:dyDescent="0.25">
      <c r="A346" s="1">
        <v>44958</v>
      </c>
      <c r="B346" t="s">
        <v>22</v>
      </c>
      <c r="C346" t="s">
        <v>150</v>
      </c>
      <c r="D346" s="2">
        <v>17459921.140000001</v>
      </c>
      <c r="E346" s="2">
        <v>47108923.619999997</v>
      </c>
      <c r="F346" s="2">
        <v>43847587.729999997</v>
      </c>
      <c r="G346" s="2">
        <v>10651258.08</v>
      </c>
    </row>
    <row r="347" spans="1:7" x14ac:dyDescent="0.25">
      <c r="A347" s="1">
        <v>44958</v>
      </c>
      <c r="B347" t="s">
        <v>77</v>
      </c>
      <c r="C347" t="s">
        <v>151</v>
      </c>
      <c r="D347" s="2">
        <v>-12460155.23</v>
      </c>
      <c r="E347" s="2">
        <v>27153822.890000001</v>
      </c>
      <c r="F347" s="2">
        <v>27306897.800000001</v>
      </c>
      <c r="G347" s="2">
        <v>3027249.29</v>
      </c>
    </row>
    <row r="348" spans="1:7" x14ac:dyDescent="0.25">
      <c r="A348" s="1">
        <v>44958</v>
      </c>
      <c r="B348" t="s">
        <v>22</v>
      </c>
      <c r="C348" t="s">
        <v>152</v>
      </c>
      <c r="D348" s="2">
        <v>3614764.67</v>
      </c>
      <c r="E348" s="2">
        <v>6540461.0499999998</v>
      </c>
      <c r="F348" s="2">
        <v>5426141.6399999997</v>
      </c>
      <c r="G348" s="2">
        <v>493622.51</v>
      </c>
    </row>
    <row r="349" spans="1:7" x14ac:dyDescent="0.25">
      <c r="A349" s="1">
        <v>44958</v>
      </c>
      <c r="B349" t="s">
        <v>24</v>
      </c>
      <c r="C349" t="s">
        <v>153</v>
      </c>
      <c r="D349" s="2">
        <v>215406584.94999999</v>
      </c>
      <c r="E349" s="2">
        <v>19108069.670000002</v>
      </c>
      <c r="F349" s="2">
        <v>16778617.09</v>
      </c>
      <c r="G349" s="2">
        <v>7226171.3200000003</v>
      </c>
    </row>
    <row r="350" spans="1:7" x14ac:dyDescent="0.25">
      <c r="A350" s="1">
        <v>44958</v>
      </c>
      <c r="B350" t="s">
        <v>37</v>
      </c>
      <c r="C350" t="s">
        <v>154</v>
      </c>
      <c r="D350" s="2">
        <v>4333797.03</v>
      </c>
      <c r="E350" s="2">
        <v>26359058.09</v>
      </c>
      <c r="F350" s="2">
        <v>25163917.969999999</v>
      </c>
      <c r="G350" s="2">
        <v>3643155.57</v>
      </c>
    </row>
    <row r="351" spans="1:7" x14ac:dyDescent="0.25">
      <c r="A351" s="1">
        <v>44958</v>
      </c>
      <c r="B351" t="s">
        <v>37</v>
      </c>
      <c r="C351" t="s">
        <v>155</v>
      </c>
      <c r="D351" s="2">
        <v>3767826.2</v>
      </c>
      <c r="E351" s="2">
        <v>30021749.329999998</v>
      </c>
      <c r="F351" s="2">
        <v>27811068.219999999</v>
      </c>
      <c r="G351" s="2">
        <v>1759067.82</v>
      </c>
    </row>
    <row r="352" spans="1:7" x14ac:dyDescent="0.25">
      <c r="A352" s="1">
        <v>44958</v>
      </c>
      <c r="B352" t="s">
        <v>37</v>
      </c>
      <c r="C352" t="s">
        <v>156</v>
      </c>
      <c r="D352" s="2">
        <v>29272101.190000001</v>
      </c>
      <c r="E352" s="2">
        <v>50385290.07</v>
      </c>
      <c r="F352" s="2">
        <v>45663195.68</v>
      </c>
      <c r="G352" s="2">
        <v>3147502.6</v>
      </c>
    </row>
    <row r="353" spans="1:7" x14ac:dyDescent="0.25">
      <c r="A353" s="1">
        <v>44958</v>
      </c>
      <c r="B353" t="s">
        <v>37</v>
      </c>
      <c r="C353" t="s">
        <v>157</v>
      </c>
      <c r="D353" s="2">
        <v>191462469.84</v>
      </c>
      <c r="E353" s="2">
        <v>44734061.740000002</v>
      </c>
      <c r="F353" s="2">
        <v>43358920.609999999</v>
      </c>
      <c r="G353" s="2">
        <v>4429945.74</v>
      </c>
    </row>
    <row r="354" spans="1:7" x14ac:dyDescent="0.25">
      <c r="A354" s="1">
        <v>44958</v>
      </c>
      <c r="B354" t="s">
        <v>37</v>
      </c>
      <c r="C354" t="s">
        <v>158</v>
      </c>
      <c r="D354" s="2">
        <v>3787104.32</v>
      </c>
      <c r="E354" s="2">
        <v>29508295.440000001</v>
      </c>
      <c r="F354" s="2">
        <v>27613966.469999999</v>
      </c>
      <c r="G354" s="2">
        <v>4100197.75</v>
      </c>
    </row>
    <row r="355" spans="1:7" x14ac:dyDescent="0.25">
      <c r="A355" s="1">
        <v>44958</v>
      </c>
      <c r="B355" t="s">
        <v>37</v>
      </c>
      <c r="C355" t="s">
        <v>159</v>
      </c>
      <c r="D355" s="2">
        <v>19981255.109999999</v>
      </c>
      <c r="E355" s="2">
        <v>20082312.25</v>
      </c>
      <c r="F355" s="2">
        <v>21435457.359999999</v>
      </c>
      <c r="G355" s="2">
        <v>2313646.25</v>
      </c>
    </row>
    <row r="356" spans="1:7" x14ac:dyDescent="0.25">
      <c r="A356" s="1">
        <v>44958</v>
      </c>
      <c r="B356" t="s">
        <v>37</v>
      </c>
      <c r="C356" t="s">
        <v>160</v>
      </c>
      <c r="D356" s="2">
        <v>2473135.69</v>
      </c>
      <c r="E356" s="2">
        <v>39149915.359999999</v>
      </c>
      <c r="F356" s="2">
        <v>36339979.060000002</v>
      </c>
      <c r="G356" s="2">
        <v>13086532.93</v>
      </c>
    </row>
    <row r="357" spans="1:7" x14ac:dyDescent="0.25">
      <c r="A357" s="1">
        <v>44958</v>
      </c>
      <c r="B357" t="s">
        <v>37</v>
      </c>
      <c r="C357" t="s">
        <v>161</v>
      </c>
      <c r="D357" s="2">
        <v>6714034.7599999998</v>
      </c>
      <c r="E357" s="2">
        <v>34211159.969999999</v>
      </c>
      <c r="F357" s="2">
        <v>33382924.960000001</v>
      </c>
      <c r="G357" s="2">
        <v>3887182.11</v>
      </c>
    </row>
    <row r="358" spans="1:7" x14ac:dyDescent="0.25">
      <c r="A358" s="1">
        <v>44958</v>
      </c>
      <c r="B358" t="s">
        <v>37</v>
      </c>
      <c r="C358" t="s">
        <v>162</v>
      </c>
      <c r="D358" s="2">
        <v>6187878.4400000004</v>
      </c>
      <c r="E358" s="2">
        <v>46315601.969999999</v>
      </c>
      <c r="F358" s="2">
        <v>43293126.759999998</v>
      </c>
      <c r="G358" s="2">
        <v>3392889.47</v>
      </c>
    </row>
    <row r="359" spans="1:7" x14ac:dyDescent="0.25">
      <c r="A359" s="1">
        <v>44958</v>
      </c>
      <c r="B359" t="s">
        <v>37</v>
      </c>
      <c r="C359" t="s">
        <v>163</v>
      </c>
      <c r="D359" s="2">
        <v>5906835.8600000003</v>
      </c>
      <c r="E359" s="2">
        <v>17494492.530000001</v>
      </c>
      <c r="F359" s="2">
        <v>15930111.52</v>
      </c>
      <c r="G359" s="2">
        <v>2469220.2799999998</v>
      </c>
    </row>
    <row r="360" spans="1:7" x14ac:dyDescent="0.25">
      <c r="A360" s="1">
        <v>44958</v>
      </c>
      <c r="B360" t="s">
        <v>37</v>
      </c>
      <c r="C360" t="s">
        <v>164</v>
      </c>
      <c r="D360" s="2">
        <v>13168573.42</v>
      </c>
      <c r="E360" s="2">
        <v>11000855.640000001</v>
      </c>
      <c r="F360" s="2">
        <v>10184212.09</v>
      </c>
      <c r="G360" s="2">
        <v>1277236.54</v>
      </c>
    </row>
    <row r="361" spans="1:7" x14ac:dyDescent="0.25">
      <c r="A361" s="1">
        <v>44958</v>
      </c>
      <c r="B361" t="s">
        <v>37</v>
      </c>
      <c r="C361" t="s">
        <v>165</v>
      </c>
      <c r="D361" s="2">
        <v>8557547.1099999994</v>
      </c>
      <c r="E361" s="2">
        <v>45720208.630000003</v>
      </c>
      <c r="F361" s="2">
        <v>44174533.670000002</v>
      </c>
      <c r="G361" s="2">
        <v>3387191.68</v>
      </c>
    </row>
    <row r="362" spans="1:7" x14ac:dyDescent="0.25">
      <c r="A362" s="1">
        <v>44958</v>
      </c>
      <c r="B362" t="s">
        <v>37</v>
      </c>
      <c r="C362" t="s">
        <v>166</v>
      </c>
      <c r="D362" s="2">
        <v>23967403.219999999</v>
      </c>
      <c r="E362" s="2">
        <v>23440074.390000001</v>
      </c>
      <c r="F362" s="2">
        <v>21727628.530000001</v>
      </c>
      <c r="G362" s="2">
        <v>2224817.69</v>
      </c>
    </row>
    <row r="363" spans="1:7" x14ac:dyDescent="0.25">
      <c r="A363" s="1">
        <v>44958</v>
      </c>
      <c r="B363" t="s">
        <v>37</v>
      </c>
      <c r="C363" t="s">
        <v>167</v>
      </c>
      <c r="D363" s="2">
        <v>8601370.0500000007</v>
      </c>
      <c r="E363" s="2">
        <v>75324345.019999996</v>
      </c>
      <c r="F363" s="2">
        <v>72750897.049999997</v>
      </c>
      <c r="G363" s="2">
        <v>4698383.4400000004</v>
      </c>
    </row>
    <row r="364" spans="1:7" x14ac:dyDescent="0.25">
      <c r="A364" s="1">
        <v>44958</v>
      </c>
      <c r="B364" t="s">
        <v>37</v>
      </c>
      <c r="C364" t="s">
        <v>168</v>
      </c>
      <c r="D364" s="2">
        <v>13393097.119999999</v>
      </c>
      <c r="E364" s="2">
        <v>9862020.2400000002</v>
      </c>
      <c r="F364" s="2">
        <v>9364364.1500000004</v>
      </c>
      <c r="G364" s="2">
        <v>1451884.87</v>
      </c>
    </row>
    <row r="365" spans="1:7" x14ac:dyDescent="0.25">
      <c r="A365" s="1">
        <v>44958</v>
      </c>
      <c r="B365" t="s">
        <v>37</v>
      </c>
      <c r="C365" t="s">
        <v>169</v>
      </c>
      <c r="D365" s="2">
        <v>2115633.0099999998</v>
      </c>
      <c r="E365" s="2">
        <v>9254975.7799999993</v>
      </c>
      <c r="F365" s="2">
        <v>7551378.46</v>
      </c>
      <c r="G365" s="2">
        <v>708437.84</v>
      </c>
    </row>
    <row r="366" spans="1:7" x14ac:dyDescent="0.25">
      <c r="A366" s="1">
        <v>44958</v>
      </c>
      <c r="B366" t="s">
        <v>37</v>
      </c>
      <c r="C366" t="s">
        <v>170</v>
      </c>
      <c r="D366" s="2">
        <v>4589980.92</v>
      </c>
      <c r="E366" s="2">
        <v>28416569.739999998</v>
      </c>
      <c r="F366" s="2">
        <v>25410773.850000001</v>
      </c>
      <c r="G366" s="2">
        <v>3349257.81</v>
      </c>
    </row>
    <row r="367" spans="1:7" x14ac:dyDescent="0.25">
      <c r="A367" s="1">
        <v>44958</v>
      </c>
      <c r="B367" t="s">
        <v>37</v>
      </c>
      <c r="C367" t="s">
        <v>171</v>
      </c>
      <c r="D367" s="2">
        <v>4558394</v>
      </c>
      <c r="E367" s="2">
        <v>64342839.420000002</v>
      </c>
      <c r="F367" s="2">
        <v>59535385.920000002</v>
      </c>
      <c r="G367" s="2">
        <v>6378879.0800000001</v>
      </c>
    </row>
    <row r="368" spans="1:7" x14ac:dyDescent="0.25">
      <c r="A368" s="1">
        <v>44958</v>
      </c>
      <c r="B368" t="s">
        <v>37</v>
      </c>
      <c r="C368" t="s">
        <v>172</v>
      </c>
      <c r="D368" s="2">
        <v>21741679.43</v>
      </c>
      <c r="E368" s="2">
        <v>63030508.759999998</v>
      </c>
      <c r="F368" s="2">
        <v>55570841.93</v>
      </c>
      <c r="G368" s="2">
        <v>10283736.640000001</v>
      </c>
    </row>
    <row r="369" spans="1:7" x14ac:dyDescent="0.25">
      <c r="A369" s="1">
        <v>44958</v>
      </c>
      <c r="B369" t="s">
        <v>37</v>
      </c>
      <c r="C369" t="s">
        <v>173</v>
      </c>
      <c r="D369" s="2">
        <v>7170344.0499999998</v>
      </c>
      <c r="E369" s="2">
        <v>58159666.93</v>
      </c>
      <c r="F369" s="2">
        <v>49102245.119999997</v>
      </c>
      <c r="G369" s="2">
        <v>4790534.55</v>
      </c>
    </row>
    <row r="370" spans="1:7" x14ac:dyDescent="0.25">
      <c r="A370" s="1">
        <v>44958</v>
      </c>
      <c r="B370" t="s">
        <v>37</v>
      </c>
      <c r="C370" t="s">
        <v>174</v>
      </c>
      <c r="D370" s="2">
        <v>5994729.0800000001</v>
      </c>
      <c r="E370" s="2">
        <v>37481946.649999999</v>
      </c>
      <c r="F370" s="2">
        <v>34826657.409999996</v>
      </c>
      <c r="G370" s="2">
        <v>3745554.83</v>
      </c>
    </row>
    <row r="371" spans="1:7" x14ac:dyDescent="0.25">
      <c r="A371" s="1">
        <v>44958</v>
      </c>
      <c r="B371" t="s">
        <v>37</v>
      </c>
      <c r="C371" t="s">
        <v>175</v>
      </c>
      <c r="D371" s="2">
        <v>17215294.350000001</v>
      </c>
      <c r="E371" s="2">
        <v>16123731.68</v>
      </c>
      <c r="F371" s="2">
        <v>15432496.630000001</v>
      </c>
      <c r="G371" s="2">
        <v>1739146.92</v>
      </c>
    </row>
    <row r="372" spans="1:7" x14ac:dyDescent="0.25">
      <c r="A372" s="1">
        <v>44958</v>
      </c>
      <c r="B372" t="s">
        <v>37</v>
      </c>
      <c r="C372" t="s">
        <v>176</v>
      </c>
      <c r="D372" s="2">
        <v>3176805.52</v>
      </c>
      <c r="E372" s="2">
        <v>22157460.699999999</v>
      </c>
      <c r="F372" s="2">
        <v>20812164.66</v>
      </c>
      <c r="G372" s="2">
        <v>2165180.5</v>
      </c>
    </row>
    <row r="373" spans="1:7" x14ac:dyDescent="0.25">
      <c r="A373" s="1">
        <v>44958</v>
      </c>
      <c r="B373" t="s">
        <v>37</v>
      </c>
      <c r="C373" t="s">
        <v>177</v>
      </c>
      <c r="D373" s="2">
        <v>38321367.25</v>
      </c>
      <c r="E373" s="2">
        <v>37003193.25</v>
      </c>
      <c r="F373" s="2">
        <v>34332667.409999996</v>
      </c>
      <c r="G373" s="2">
        <v>2970777.09</v>
      </c>
    </row>
    <row r="374" spans="1:7" x14ac:dyDescent="0.25">
      <c r="A374" s="1">
        <v>44958</v>
      </c>
      <c r="B374" t="s">
        <v>37</v>
      </c>
      <c r="C374" t="s">
        <v>178</v>
      </c>
      <c r="D374" s="2">
        <v>4221166.38</v>
      </c>
      <c r="E374" s="2">
        <v>44468295.829999998</v>
      </c>
      <c r="F374" s="2">
        <v>38725110.780000001</v>
      </c>
      <c r="G374" s="2">
        <v>1507936.2</v>
      </c>
    </row>
    <row r="375" spans="1:7" x14ac:dyDescent="0.25">
      <c r="A375" s="1">
        <v>44958</v>
      </c>
      <c r="B375" t="s">
        <v>37</v>
      </c>
      <c r="C375" t="s">
        <v>179</v>
      </c>
      <c r="D375" s="2">
        <v>5432335.9900000002</v>
      </c>
      <c r="E375" s="2">
        <v>39736449.350000001</v>
      </c>
      <c r="F375" s="2">
        <v>36462193.159999996</v>
      </c>
      <c r="G375" s="2">
        <v>2735108.93</v>
      </c>
    </row>
    <row r="376" spans="1:7" x14ac:dyDescent="0.25">
      <c r="A376" s="1">
        <v>44958</v>
      </c>
      <c r="B376" t="s">
        <v>37</v>
      </c>
      <c r="C376" t="s">
        <v>180</v>
      </c>
      <c r="D376" s="2">
        <v>1403278.34</v>
      </c>
      <c r="E376" s="2">
        <v>32807601.52</v>
      </c>
      <c r="F376" s="2">
        <v>32759489.620000001</v>
      </c>
      <c r="G376" s="2">
        <v>1759840.51</v>
      </c>
    </row>
    <row r="377" spans="1:7" x14ac:dyDescent="0.25">
      <c r="A377" s="1">
        <v>44958</v>
      </c>
      <c r="B377" t="s">
        <v>37</v>
      </c>
      <c r="C377" t="s">
        <v>181</v>
      </c>
      <c r="D377" s="2">
        <v>3886992.74</v>
      </c>
      <c r="E377" s="2">
        <v>51191561.100000001</v>
      </c>
      <c r="F377" s="2">
        <v>49129296.700000003</v>
      </c>
      <c r="G377" s="2">
        <v>6926051.4100000001</v>
      </c>
    </row>
    <row r="378" spans="1:7" x14ac:dyDescent="0.25">
      <c r="A378" s="1">
        <v>44958</v>
      </c>
      <c r="B378" t="s">
        <v>37</v>
      </c>
      <c r="C378" t="s">
        <v>182</v>
      </c>
      <c r="D378" s="2">
        <v>5354065.87</v>
      </c>
      <c r="E378" s="2">
        <v>37250844.189999998</v>
      </c>
      <c r="F378" s="2">
        <v>36890522.289999999</v>
      </c>
      <c r="G378" s="2">
        <v>3148967.74</v>
      </c>
    </row>
    <row r="379" spans="1:7" x14ac:dyDescent="0.25">
      <c r="A379" s="1">
        <v>44958</v>
      </c>
      <c r="B379" t="s">
        <v>37</v>
      </c>
      <c r="C379" t="s">
        <v>183</v>
      </c>
      <c r="D379" s="2">
        <v>2391418.1</v>
      </c>
      <c r="E379" s="2">
        <v>15035856.01</v>
      </c>
      <c r="F379" s="2">
        <v>14865520.43</v>
      </c>
      <c r="G379" s="2">
        <v>1251606.6299999999</v>
      </c>
    </row>
    <row r="380" spans="1:7" x14ac:dyDescent="0.25">
      <c r="A380" s="1">
        <v>44958</v>
      </c>
      <c r="B380" t="s">
        <v>37</v>
      </c>
      <c r="C380" t="s">
        <v>184</v>
      </c>
      <c r="D380" s="2">
        <v>2510277.56</v>
      </c>
      <c r="E380" s="2">
        <v>23196313.18</v>
      </c>
      <c r="F380" s="2">
        <v>23457787.620000001</v>
      </c>
      <c r="G380" s="2">
        <v>2522306.1</v>
      </c>
    </row>
    <row r="381" spans="1:7" x14ac:dyDescent="0.25">
      <c r="A381" s="1">
        <v>44958</v>
      </c>
      <c r="B381" t="s">
        <v>37</v>
      </c>
      <c r="C381" t="s">
        <v>185</v>
      </c>
      <c r="D381" s="2">
        <v>5243908.32</v>
      </c>
      <c r="E381" s="2">
        <v>22593080.280000001</v>
      </c>
      <c r="F381" s="2">
        <v>20177513.210000001</v>
      </c>
      <c r="G381" s="2">
        <v>2690775.08</v>
      </c>
    </row>
    <row r="382" spans="1:7" x14ac:dyDescent="0.25">
      <c r="A382" s="1">
        <v>44958</v>
      </c>
      <c r="B382" t="s">
        <v>37</v>
      </c>
      <c r="C382" t="s">
        <v>186</v>
      </c>
      <c r="D382" s="2">
        <v>7759431.6500000004</v>
      </c>
      <c r="E382" s="2">
        <v>21647671.899999999</v>
      </c>
      <c r="F382" s="2">
        <v>20748614.66</v>
      </c>
      <c r="G382" s="2">
        <v>1788553.29</v>
      </c>
    </row>
    <row r="383" spans="1:7" x14ac:dyDescent="0.25">
      <c r="A383" s="1">
        <v>44958</v>
      </c>
      <c r="B383" t="s">
        <v>37</v>
      </c>
      <c r="C383" t="s">
        <v>187</v>
      </c>
      <c r="D383" s="2">
        <v>3901632.54</v>
      </c>
      <c r="E383" s="2">
        <v>19435451.27</v>
      </c>
      <c r="F383" s="2">
        <v>18709070.670000002</v>
      </c>
      <c r="G383" s="2">
        <v>1882771.31</v>
      </c>
    </row>
    <row r="384" spans="1:7" x14ac:dyDescent="0.25">
      <c r="A384" s="1">
        <v>44958</v>
      </c>
      <c r="B384" t="s">
        <v>37</v>
      </c>
      <c r="C384" t="s">
        <v>188</v>
      </c>
      <c r="D384" s="2">
        <v>8196529.71</v>
      </c>
      <c r="E384" s="2">
        <v>23945591.170000002</v>
      </c>
      <c r="F384" s="2">
        <v>23521927.539999999</v>
      </c>
      <c r="G384" s="2">
        <v>2490588.4500000002</v>
      </c>
    </row>
    <row r="385" spans="1:7" x14ac:dyDescent="0.25">
      <c r="A385" s="1">
        <v>44958</v>
      </c>
      <c r="B385" t="s">
        <v>37</v>
      </c>
      <c r="C385" t="s">
        <v>189</v>
      </c>
      <c r="D385" s="2">
        <v>4133156.27</v>
      </c>
      <c r="E385" s="2">
        <v>32835294.199999999</v>
      </c>
      <c r="F385" s="2">
        <v>31680336.530000001</v>
      </c>
      <c r="G385" s="2">
        <v>3386527.14</v>
      </c>
    </row>
    <row r="386" spans="1:7" x14ac:dyDescent="0.25">
      <c r="A386" s="1">
        <v>44958</v>
      </c>
      <c r="B386" t="s">
        <v>37</v>
      </c>
      <c r="C386" t="s">
        <v>190</v>
      </c>
      <c r="D386" s="2">
        <v>3812227.39</v>
      </c>
      <c r="E386" s="2">
        <v>25241274.399999999</v>
      </c>
      <c r="F386" s="2">
        <v>24862337.68</v>
      </c>
      <c r="G386" s="2">
        <v>2085530.72</v>
      </c>
    </row>
    <row r="387" spans="1:7" x14ac:dyDescent="0.25">
      <c r="A387" s="1">
        <v>44958</v>
      </c>
      <c r="B387" t="s">
        <v>37</v>
      </c>
      <c r="C387" t="s">
        <v>191</v>
      </c>
      <c r="D387" s="2">
        <v>3737086.13</v>
      </c>
      <c r="E387" s="2">
        <v>36866506.200000003</v>
      </c>
      <c r="F387" s="2">
        <v>35874245.259999998</v>
      </c>
      <c r="G387" s="2">
        <v>6278703.8499999996</v>
      </c>
    </row>
    <row r="388" spans="1:7" x14ac:dyDescent="0.25">
      <c r="A388" s="1">
        <v>44958</v>
      </c>
      <c r="B388" t="s">
        <v>192</v>
      </c>
      <c r="C388" t="s">
        <v>193</v>
      </c>
      <c r="D388" s="2">
        <v>162024590.66999999</v>
      </c>
      <c r="E388" s="2">
        <v>26145193.350000001</v>
      </c>
      <c r="F388" s="2">
        <v>26640800.07</v>
      </c>
      <c r="G388" s="2">
        <v>1172696.3400000001</v>
      </c>
    </row>
    <row r="389" spans="1:7" x14ac:dyDescent="0.25">
      <c r="A389" s="1">
        <v>44958</v>
      </c>
      <c r="B389" t="s">
        <v>53</v>
      </c>
      <c r="C389" t="s">
        <v>194</v>
      </c>
      <c r="D389" s="2">
        <v>176167801.53</v>
      </c>
      <c r="E389" s="2">
        <v>96108907.129999995</v>
      </c>
      <c r="F389" s="2">
        <v>94867085.989999995</v>
      </c>
      <c r="G389" s="2">
        <v>11319656.98</v>
      </c>
    </row>
    <row r="390" spans="1:7" x14ac:dyDescent="0.25">
      <c r="A390" s="1">
        <v>44958</v>
      </c>
      <c r="B390" t="s">
        <v>37</v>
      </c>
      <c r="C390" t="s">
        <v>195</v>
      </c>
      <c r="D390" s="2">
        <v>62551734.869999997</v>
      </c>
      <c r="E390" s="2">
        <v>9862628.3900000006</v>
      </c>
      <c r="F390" s="2">
        <v>10199043.08</v>
      </c>
      <c r="G390" s="2">
        <v>65150355.439999998</v>
      </c>
    </row>
    <row r="391" spans="1:7" x14ac:dyDescent="0.25">
      <c r="A391" s="1">
        <v>44958</v>
      </c>
      <c r="B391" t="s">
        <v>192</v>
      </c>
      <c r="C391" t="s">
        <v>196</v>
      </c>
      <c r="D391" s="2">
        <v>84952090.890000001</v>
      </c>
      <c r="E391" s="2">
        <v>74814926.859999999</v>
      </c>
      <c r="F391" s="2">
        <v>73417621.310000002</v>
      </c>
      <c r="G391" s="2">
        <v>5758721.4500000002</v>
      </c>
    </row>
    <row r="392" spans="1:7" x14ac:dyDescent="0.25">
      <c r="A392" s="1">
        <v>44958</v>
      </c>
      <c r="B392" t="s">
        <v>61</v>
      </c>
      <c r="C392" t="s">
        <v>197</v>
      </c>
      <c r="D392" s="2">
        <v>-13936044.66</v>
      </c>
      <c r="E392" s="2">
        <v>1109987.22</v>
      </c>
      <c r="F392" s="2">
        <v>1127630.6399999999</v>
      </c>
      <c r="G392" s="2">
        <v>2210046.42</v>
      </c>
    </row>
    <row r="393" spans="1:7" x14ac:dyDescent="0.25">
      <c r="A393" s="1">
        <v>44958</v>
      </c>
      <c r="B393" t="s">
        <v>125</v>
      </c>
      <c r="C393" t="s">
        <v>198</v>
      </c>
      <c r="D393" s="2">
        <v>182914110.25</v>
      </c>
      <c r="E393" s="2">
        <v>7927961639.1300001</v>
      </c>
      <c r="F393" s="2">
        <v>7894445817.3100004</v>
      </c>
      <c r="G393" s="2">
        <v>29062225.469999999</v>
      </c>
    </row>
    <row r="394" spans="1:7" x14ac:dyDescent="0.25">
      <c r="A394" s="1">
        <v>44958</v>
      </c>
      <c r="B394" t="s">
        <v>63</v>
      </c>
      <c r="C394" t="s">
        <v>199</v>
      </c>
      <c r="D394" s="2">
        <v>308969856.88</v>
      </c>
      <c r="E394" s="2">
        <v>288113870.19</v>
      </c>
      <c r="F394" s="2">
        <v>291571123.83999997</v>
      </c>
      <c r="G394" s="2">
        <v>20873975.949999999</v>
      </c>
    </row>
    <row r="395" spans="1:7" x14ac:dyDescent="0.25">
      <c r="A395" s="1">
        <v>44958</v>
      </c>
      <c r="B395" t="s">
        <v>9</v>
      </c>
      <c r="C395" t="s">
        <v>200</v>
      </c>
      <c r="D395" s="2">
        <v>38423587.579999998</v>
      </c>
      <c r="E395" s="2">
        <v>166538612.94999999</v>
      </c>
      <c r="F395" s="2">
        <v>161777637.59</v>
      </c>
      <c r="G395" s="2">
        <v>22944936.18</v>
      </c>
    </row>
    <row r="396" spans="1:7" x14ac:dyDescent="0.25">
      <c r="A396" s="1">
        <v>44958</v>
      </c>
      <c r="B396" t="s">
        <v>24</v>
      </c>
      <c r="C396" t="s">
        <v>201</v>
      </c>
      <c r="D396" s="2">
        <v>3113318.01</v>
      </c>
      <c r="E396" s="2">
        <v>107690.56</v>
      </c>
      <c r="F396">
        <v>0</v>
      </c>
      <c r="G396" s="2">
        <v>350000</v>
      </c>
    </row>
    <row r="397" spans="1:7" x14ac:dyDescent="0.25">
      <c r="A397" s="1">
        <v>44958</v>
      </c>
      <c r="B397" t="s">
        <v>29</v>
      </c>
      <c r="C397" t="s">
        <v>202</v>
      </c>
      <c r="D397" s="2">
        <v>18320452.899999999</v>
      </c>
      <c r="E397" s="2">
        <v>24534452.370000001</v>
      </c>
      <c r="F397" s="2">
        <v>24826958.25</v>
      </c>
      <c r="G397" s="2">
        <v>117812349.40000001</v>
      </c>
    </row>
    <row r="398" spans="1:7" x14ac:dyDescent="0.25">
      <c r="A398" s="1">
        <v>44958</v>
      </c>
      <c r="B398" t="s">
        <v>37</v>
      </c>
      <c r="C398" t="s">
        <v>203</v>
      </c>
      <c r="D398" s="2">
        <v>40454513.409999996</v>
      </c>
      <c r="E398" s="2">
        <v>50338052.759999998</v>
      </c>
      <c r="F398" s="2">
        <v>52553575.060000002</v>
      </c>
      <c r="G398" s="2">
        <v>20886818.82</v>
      </c>
    </row>
    <row r="399" spans="1:7" x14ac:dyDescent="0.25">
      <c r="A399" s="1">
        <v>44958</v>
      </c>
      <c r="B399" t="s">
        <v>45</v>
      </c>
      <c r="C399" t="s">
        <v>204</v>
      </c>
      <c r="D399" s="2">
        <v>30792173866.200001</v>
      </c>
      <c r="E399" s="2">
        <v>82309396199.5</v>
      </c>
      <c r="F399" s="2">
        <v>82212576173.470001</v>
      </c>
      <c r="G399" s="2">
        <v>147086717.94999999</v>
      </c>
    </row>
    <row r="400" spans="1:7" x14ac:dyDescent="0.25">
      <c r="A400" s="1">
        <v>44958</v>
      </c>
      <c r="B400" t="s">
        <v>75</v>
      </c>
      <c r="C400" t="s">
        <v>205</v>
      </c>
      <c r="D400" s="2">
        <v>2064067431.8099999</v>
      </c>
      <c r="E400" s="2">
        <v>2504786391.6700001</v>
      </c>
      <c r="F400" s="2">
        <v>2394166346.8400002</v>
      </c>
      <c r="G400" s="2">
        <v>120716960.04000001</v>
      </c>
    </row>
    <row r="401" spans="1:7" x14ac:dyDescent="0.25">
      <c r="A401" s="1">
        <v>44958</v>
      </c>
      <c r="B401" t="s">
        <v>50</v>
      </c>
      <c r="C401" t="s">
        <v>208</v>
      </c>
      <c r="D401" s="2">
        <v>95769984.790000007</v>
      </c>
      <c r="E401" s="2">
        <v>41834941.270000003</v>
      </c>
      <c r="F401" s="2">
        <v>44429534.219999999</v>
      </c>
      <c r="G401" s="2">
        <v>66185428.979999997</v>
      </c>
    </row>
    <row r="402" spans="1:7" x14ac:dyDescent="0.25">
      <c r="A402" s="1">
        <v>44958</v>
      </c>
      <c r="B402" t="s">
        <v>31</v>
      </c>
      <c r="C402" t="s">
        <v>209</v>
      </c>
      <c r="D402" s="2">
        <v>78467750.359999999</v>
      </c>
      <c r="E402" s="2">
        <v>44448725.640000001</v>
      </c>
      <c r="F402" s="2">
        <v>44172727.329999998</v>
      </c>
      <c r="G402" s="2">
        <v>7987728.4000000004</v>
      </c>
    </row>
    <row r="403" spans="1:7" x14ac:dyDescent="0.25">
      <c r="A403" s="1">
        <v>44958</v>
      </c>
      <c r="B403" t="s">
        <v>125</v>
      </c>
      <c r="C403" t="s">
        <v>212</v>
      </c>
      <c r="D403" s="2">
        <v>220000</v>
      </c>
      <c r="E403" s="2">
        <v>2866.69</v>
      </c>
      <c r="F403" s="2">
        <v>2866.69</v>
      </c>
      <c r="G403">
        <v>0</v>
      </c>
    </row>
    <row r="404" spans="1:7" x14ac:dyDescent="0.25">
      <c r="A404" s="1">
        <v>44958</v>
      </c>
      <c r="B404" t="s">
        <v>16</v>
      </c>
      <c r="C404" t="s">
        <v>213</v>
      </c>
      <c r="D404" s="2">
        <v>9873651766.0400009</v>
      </c>
      <c r="E404" s="2">
        <v>8622216352.9500008</v>
      </c>
      <c r="F404" s="2">
        <v>8596523351.8500004</v>
      </c>
      <c r="G404" s="2">
        <v>2516964600.0900002</v>
      </c>
    </row>
    <row r="405" spans="1:7" x14ac:dyDescent="0.25">
      <c r="A405" s="1">
        <v>44958</v>
      </c>
      <c r="B405" t="s">
        <v>48</v>
      </c>
      <c r="C405" t="s">
        <v>214</v>
      </c>
      <c r="D405">
        <v>0</v>
      </c>
      <c r="E405">
        <v>0</v>
      </c>
      <c r="F405">
        <v>0</v>
      </c>
      <c r="G405" s="2">
        <v>304750700</v>
      </c>
    </row>
    <row r="406" spans="1:7" x14ac:dyDescent="0.25">
      <c r="A406" s="1">
        <v>44958</v>
      </c>
      <c r="B406" t="s">
        <v>27</v>
      </c>
      <c r="C406" t="s">
        <v>215</v>
      </c>
      <c r="D406" s="2">
        <v>85299601.140000001</v>
      </c>
      <c r="E406" s="2">
        <v>7371741.6799999997</v>
      </c>
      <c r="F406" s="2">
        <v>6587813.6100000003</v>
      </c>
      <c r="G406" s="2">
        <v>29559876.260000002</v>
      </c>
    </row>
    <row r="407" spans="1:7" x14ac:dyDescent="0.25">
      <c r="A407" s="1">
        <v>44958</v>
      </c>
      <c r="B407" t="s">
        <v>69</v>
      </c>
      <c r="C407" t="s">
        <v>218</v>
      </c>
      <c r="D407" s="2">
        <v>299204178.50999999</v>
      </c>
      <c r="E407" s="2">
        <v>318392168.70999998</v>
      </c>
      <c r="F407" s="2">
        <v>317202514.51999998</v>
      </c>
      <c r="G407" s="2">
        <v>24072985.239999998</v>
      </c>
    </row>
    <row r="408" spans="1:7" x14ac:dyDescent="0.25">
      <c r="A408" s="1">
        <v>44958</v>
      </c>
      <c r="B408" t="s">
        <v>13</v>
      </c>
      <c r="C408" t="s">
        <v>219</v>
      </c>
      <c r="D408" s="2">
        <v>7481526.8300000001</v>
      </c>
      <c r="E408" s="2">
        <v>20606276.550000001</v>
      </c>
      <c r="F408" s="2">
        <v>20719379.23</v>
      </c>
      <c r="G408" s="2">
        <v>8367255.5499999998</v>
      </c>
    </row>
    <row r="409" spans="1:7" x14ac:dyDescent="0.25">
      <c r="A409" s="1">
        <v>44958</v>
      </c>
      <c r="B409" t="s">
        <v>130</v>
      </c>
      <c r="C409" t="s">
        <v>221</v>
      </c>
      <c r="D409" s="2">
        <v>39611660300.690002</v>
      </c>
      <c r="E409" s="2">
        <v>13655141135.690001</v>
      </c>
      <c r="F409" s="2">
        <v>13655699459.9</v>
      </c>
      <c r="G409" s="2">
        <v>98734106.099999994</v>
      </c>
    </row>
    <row r="410" spans="1:7" x14ac:dyDescent="0.25">
      <c r="A410" s="1">
        <v>44958</v>
      </c>
      <c r="B410" t="s">
        <v>192</v>
      </c>
      <c r="C410" t="s">
        <v>222</v>
      </c>
      <c r="D410" s="2">
        <v>93650</v>
      </c>
      <c r="E410">
        <v>0</v>
      </c>
      <c r="F410">
        <v>0</v>
      </c>
      <c r="G410">
        <v>0</v>
      </c>
    </row>
    <row r="411" spans="1:7" x14ac:dyDescent="0.25">
      <c r="A411" s="1">
        <v>44958</v>
      </c>
      <c r="B411" t="s">
        <v>223</v>
      </c>
      <c r="C411" t="s">
        <v>224</v>
      </c>
      <c r="D411" s="2">
        <v>1783597.55</v>
      </c>
      <c r="E411" s="2">
        <v>430193.93</v>
      </c>
      <c r="F411" s="2">
        <v>430193.93</v>
      </c>
      <c r="G411" s="2">
        <v>12486952</v>
      </c>
    </row>
    <row r="412" spans="1:7" x14ac:dyDescent="0.25">
      <c r="A412" s="1">
        <v>44958</v>
      </c>
      <c r="B412" t="s">
        <v>22</v>
      </c>
      <c r="C412" t="s">
        <v>225</v>
      </c>
      <c r="D412" s="2">
        <v>3827014.82</v>
      </c>
      <c r="E412" s="2">
        <v>10413822.199999999</v>
      </c>
      <c r="F412" s="2">
        <v>10791535.539999999</v>
      </c>
      <c r="G412" s="2">
        <v>1523126.79</v>
      </c>
    </row>
    <row r="413" spans="1:7" x14ac:dyDescent="0.25">
      <c r="A413" s="1">
        <v>44958</v>
      </c>
      <c r="B413" t="s">
        <v>80</v>
      </c>
      <c r="C413" t="s">
        <v>227</v>
      </c>
      <c r="D413" s="2">
        <v>63831542.130000003</v>
      </c>
      <c r="E413" s="2">
        <v>244811380.36000001</v>
      </c>
      <c r="F413" s="2">
        <v>256472265.16999999</v>
      </c>
      <c r="G413" s="2">
        <v>36397276.82</v>
      </c>
    </row>
    <row r="414" spans="1:7" x14ac:dyDescent="0.25">
      <c r="A414" s="1">
        <v>44958</v>
      </c>
      <c r="B414" t="s">
        <v>127</v>
      </c>
      <c r="C414" t="s">
        <v>228</v>
      </c>
      <c r="D414" s="2">
        <v>22131377.77</v>
      </c>
      <c r="E414" s="2">
        <v>12946246.23</v>
      </c>
      <c r="F414" s="2">
        <v>11194528.369999999</v>
      </c>
      <c r="G414" s="2">
        <v>4096106.75</v>
      </c>
    </row>
    <row r="415" spans="1:7" x14ac:dyDescent="0.25">
      <c r="A415" s="1">
        <v>44958</v>
      </c>
      <c r="B415" t="s">
        <v>140</v>
      </c>
      <c r="C415" t="s">
        <v>229</v>
      </c>
      <c r="D415" s="2">
        <v>73951378.900000006</v>
      </c>
      <c r="E415" s="2">
        <v>6360578.3499999996</v>
      </c>
      <c r="F415" s="2">
        <v>6082142.1399999997</v>
      </c>
      <c r="G415" s="2">
        <v>7765520</v>
      </c>
    </row>
    <row r="416" spans="1:7" x14ac:dyDescent="0.25">
      <c r="A416" s="1">
        <v>44958</v>
      </c>
      <c r="B416" t="s">
        <v>19</v>
      </c>
      <c r="C416" t="s">
        <v>230</v>
      </c>
      <c r="D416" s="2">
        <v>78631289.579999998</v>
      </c>
      <c r="E416" s="2">
        <v>14081622.109999999</v>
      </c>
      <c r="F416" s="2">
        <v>14869148.550000001</v>
      </c>
      <c r="G416" s="2">
        <v>6017468.0300000003</v>
      </c>
    </row>
    <row r="417" spans="1:7" x14ac:dyDescent="0.25">
      <c r="A417" s="1">
        <v>44958</v>
      </c>
      <c r="B417" t="s">
        <v>13</v>
      </c>
      <c r="C417" t="s">
        <v>231</v>
      </c>
      <c r="D417" s="2">
        <v>8061204.2800000003</v>
      </c>
      <c r="E417" s="2">
        <v>29963644.52</v>
      </c>
      <c r="F417" s="2">
        <v>30685963.489999998</v>
      </c>
      <c r="G417" s="2">
        <v>623338.43000000005</v>
      </c>
    </row>
    <row r="418" spans="1:7" x14ac:dyDescent="0.25">
      <c r="A418" s="1">
        <v>44958</v>
      </c>
      <c r="B418" t="s">
        <v>31</v>
      </c>
      <c r="C418" t="s">
        <v>232</v>
      </c>
      <c r="D418" s="2">
        <v>102119454.26000001</v>
      </c>
      <c r="E418" s="2">
        <v>630850598.02999997</v>
      </c>
      <c r="F418" s="2">
        <v>584895615.83000004</v>
      </c>
      <c r="G418" s="2">
        <v>81566854.519999996</v>
      </c>
    </row>
    <row r="419" spans="1:7" x14ac:dyDescent="0.25">
      <c r="A419" s="1">
        <v>44958</v>
      </c>
      <c r="B419" t="s">
        <v>31</v>
      </c>
      <c r="C419" t="s">
        <v>233</v>
      </c>
      <c r="D419" s="2">
        <v>86177811.719999999</v>
      </c>
      <c r="E419" s="2">
        <v>416523186.08999997</v>
      </c>
      <c r="F419" s="2">
        <v>416255834.07999998</v>
      </c>
      <c r="G419" s="2">
        <v>24791234.609999999</v>
      </c>
    </row>
    <row r="420" spans="1:7" x14ac:dyDescent="0.25">
      <c r="A420" s="1">
        <v>44958</v>
      </c>
      <c r="B420" t="s">
        <v>61</v>
      </c>
      <c r="C420" t="s">
        <v>234</v>
      </c>
      <c r="D420" s="2">
        <v>23388824.66</v>
      </c>
      <c r="E420" s="2">
        <v>74688784.069999993</v>
      </c>
      <c r="F420" s="2">
        <v>72690763.459999993</v>
      </c>
      <c r="G420" s="2">
        <v>11281294.17</v>
      </c>
    </row>
    <row r="421" spans="1:7" x14ac:dyDescent="0.25">
      <c r="A421" s="1">
        <v>44958</v>
      </c>
      <c r="B421" t="s">
        <v>22</v>
      </c>
      <c r="C421" t="s">
        <v>235</v>
      </c>
      <c r="D421" s="2">
        <v>109682.12</v>
      </c>
      <c r="E421" s="2">
        <v>22692.68</v>
      </c>
      <c r="F421" s="2">
        <v>22692.68</v>
      </c>
      <c r="G421" s="2">
        <v>904643.03</v>
      </c>
    </row>
    <row r="422" spans="1:7" x14ac:dyDescent="0.25">
      <c r="A422" s="1">
        <v>44958</v>
      </c>
      <c r="B422" t="s">
        <v>192</v>
      </c>
      <c r="C422" t="s">
        <v>236</v>
      </c>
      <c r="D422" s="2">
        <v>86178201.120000005</v>
      </c>
      <c r="E422" s="2">
        <v>6722929.8200000003</v>
      </c>
      <c r="F422" s="2">
        <v>7030169.9400000004</v>
      </c>
      <c r="G422" s="2">
        <v>4628855.12</v>
      </c>
    </row>
    <row r="423" spans="1:7" x14ac:dyDescent="0.25">
      <c r="A423" s="1">
        <v>44958</v>
      </c>
      <c r="B423" t="s">
        <v>50</v>
      </c>
      <c r="C423" t="s">
        <v>237</v>
      </c>
      <c r="D423" s="2">
        <v>7817063.9400000004</v>
      </c>
      <c r="E423" s="2">
        <v>1310041.52</v>
      </c>
      <c r="F423" s="2">
        <v>1349275.73</v>
      </c>
      <c r="G423" s="2">
        <v>940898.08</v>
      </c>
    </row>
    <row r="424" spans="1:7" x14ac:dyDescent="0.25">
      <c r="A424" s="1">
        <v>44958</v>
      </c>
      <c r="B424" t="s">
        <v>45</v>
      </c>
      <c r="C424" t="s">
        <v>238</v>
      </c>
      <c r="D424" s="2">
        <v>4313459.97</v>
      </c>
      <c r="E424" s="2">
        <v>17985033.98</v>
      </c>
      <c r="F424" s="2">
        <v>17991072.960000001</v>
      </c>
      <c r="G424" s="2">
        <v>321028.59000000003</v>
      </c>
    </row>
    <row r="425" spans="1:7" x14ac:dyDescent="0.25">
      <c r="A425" s="1">
        <v>44958</v>
      </c>
      <c r="B425" t="s">
        <v>50</v>
      </c>
      <c r="C425" t="s">
        <v>239</v>
      </c>
      <c r="D425" s="2">
        <v>2699876.69</v>
      </c>
      <c r="E425" s="2">
        <v>2781560.41</v>
      </c>
      <c r="F425" s="2">
        <v>2735089.78</v>
      </c>
      <c r="G425" s="2">
        <v>661546.96</v>
      </c>
    </row>
    <row r="426" spans="1:7" x14ac:dyDescent="0.25">
      <c r="A426" s="1">
        <v>44958</v>
      </c>
      <c r="B426" t="s">
        <v>50</v>
      </c>
      <c r="C426" t="s">
        <v>240</v>
      </c>
      <c r="D426" s="2">
        <v>4074438.67</v>
      </c>
      <c r="E426" s="2">
        <v>3310139.94</v>
      </c>
      <c r="F426" s="2">
        <v>3388043.1</v>
      </c>
      <c r="G426" s="2">
        <v>142931.37</v>
      </c>
    </row>
    <row r="427" spans="1:7" x14ac:dyDescent="0.25">
      <c r="A427" s="1">
        <v>44958</v>
      </c>
      <c r="B427" t="s">
        <v>125</v>
      </c>
      <c r="C427" t="s">
        <v>241</v>
      </c>
      <c r="D427" s="2">
        <v>1777909</v>
      </c>
      <c r="E427" s="2">
        <v>2991215.86</v>
      </c>
      <c r="F427" s="2">
        <v>2684533.06</v>
      </c>
      <c r="G427" s="2">
        <v>159716.17000000001</v>
      </c>
    </row>
    <row r="428" spans="1:7" x14ac:dyDescent="0.25">
      <c r="A428" s="1">
        <v>44958</v>
      </c>
      <c r="B428" t="s">
        <v>27</v>
      </c>
      <c r="C428" t="s">
        <v>242</v>
      </c>
      <c r="D428" s="2">
        <v>77273685.379999995</v>
      </c>
      <c r="E428" s="2">
        <v>31540100.59</v>
      </c>
      <c r="F428" s="2">
        <v>22220903.920000002</v>
      </c>
      <c r="G428" s="2">
        <v>20188963.949999999</v>
      </c>
    </row>
    <row r="429" spans="1:7" x14ac:dyDescent="0.25">
      <c r="A429" s="1">
        <v>44958</v>
      </c>
      <c r="B429" t="s">
        <v>37</v>
      </c>
      <c r="C429" t="s">
        <v>243</v>
      </c>
      <c r="D429" s="2">
        <v>3805988.55</v>
      </c>
      <c r="E429" s="2">
        <v>12054286.59</v>
      </c>
      <c r="F429" s="2">
        <v>11566488.01</v>
      </c>
      <c r="G429" s="2">
        <v>1148814.25</v>
      </c>
    </row>
    <row r="430" spans="1:7" x14ac:dyDescent="0.25">
      <c r="A430" s="1">
        <v>44958</v>
      </c>
      <c r="B430" t="s">
        <v>37</v>
      </c>
      <c r="C430" t="s">
        <v>244</v>
      </c>
      <c r="D430" s="2">
        <v>29591321.699999999</v>
      </c>
      <c r="E430" s="2">
        <v>146634645.25999999</v>
      </c>
      <c r="F430" s="2">
        <v>146682381.41999999</v>
      </c>
      <c r="G430" s="2">
        <v>7412933.54</v>
      </c>
    </row>
    <row r="431" spans="1:7" x14ac:dyDescent="0.25">
      <c r="A431" s="1">
        <v>44958</v>
      </c>
      <c r="B431" t="s">
        <v>37</v>
      </c>
      <c r="C431" t="s">
        <v>245</v>
      </c>
      <c r="D431" s="2">
        <v>43091626.890000001</v>
      </c>
      <c r="E431" s="2">
        <v>21457623.129999999</v>
      </c>
      <c r="F431" s="2">
        <v>21198422.670000002</v>
      </c>
      <c r="G431" s="2">
        <v>3087827.29</v>
      </c>
    </row>
    <row r="432" spans="1:7" x14ac:dyDescent="0.25">
      <c r="A432" s="1">
        <v>44958</v>
      </c>
      <c r="B432" t="s">
        <v>37</v>
      </c>
      <c r="C432" t="s">
        <v>246</v>
      </c>
      <c r="D432" s="2">
        <v>2378995.52</v>
      </c>
      <c r="E432" s="2">
        <v>13073597.15</v>
      </c>
      <c r="F432" s="2">
        <v>12645236.439999999</v>
      </c>
      <c r="G432" s="2">
        <v>1082323.72</v>
      </c>
    </row>
    <row r="433" spans="1:7" x14ac:dyDescent="0.25">
      <c r="A433" s="1">
        <v>44958</v>
      </c>
      <c r="B433" t="s">
        <v>37</v>
      </c>
      <c r="C433" t="s">
        <v>247</v>
      </c>
      <c r="D433" s="2">
        <v>42116350.82</v>
      </c>
      <c r="E433" s="2">
        <v>141612827.02000001</v>
      </c>
      <c r="F433" s="2">
        <v>142120990.30000001</v>
      </c>
      <c r="G433" s="2">
        <v>13399969.029999999</v>
      </c>
    </row>
    <row r="434" spans="1:7" x14ac:dyDescent="0.25">
      <c r="A434" s="1">
        <v>44958</v>
      </c>
      <c r="B434" t="s">
        <v>37</v>
      </c>
      <c r="C434" t="s">
        <v>248</v>
      </c>
      <c r="D434" s="2">
        <v>11703181.210000001</v>
      </c>
      <c r="E434" s="2">
        <v>76086674.079999998</v>
      </c>
      <c r="F434" s="2">
        <v>71802122.200000003</v>
      </c>
      <c r="G434" s="2">
        <v>3392924.76</v>
      </c>
    </row>
    <row r="435" spans="1:7" x14ac:dyDescent="0.25">
      <c r="A435" s="1">
        <v>44958</v>
      </c>
      <c r="B435" t="s">
        <v>37</v>
      </c>
      <c r="C435" t="s">
        <v>249</v>
      </c>
      <c r="D435" s="2">
        <v>1191836.25</v>
      </c>
      <c r="E435" s="2">
        <v>19738559.23</v>
      </c>
      <c r="F435" s="2">
        <v>18071878.52</v>
      </c>
      <c r="G435" s="2">
        <v>1346718.34</v>
      </c>
    </row>
    <row r="436" spans="1:7" x14ac:dyDescent="0.25">
      <c r="A436" s="1">
        <v>44958</v>
      </c>
      <c r="B436" t="s">
        <v>37</v>
      </c>
      <c r="C436" t="s">
        <v>250</v>
      </c>
      <c r="D436" s="2">
        <v>5816085.7199999997</v>
      </c>
      <c r="E436" s="2">
        <v>61291144.799999997</v>
      </c>
      <c r="F436" s="2">
        <v>61863325.789999999</v>
      </c>
      <c r="G436" s="2">
        <v>2522561.11</v>
      </c>
    </row>
    <row r="437" spans="1:7" x14ac:dyDescent="0.25">
      <c r="A437" s="1">
        <v>44958</v>
      </c>
      <c r="B437" t="s">
        <v>37</v>
      </c>
      <c r="C437" t="s">
        <v>251</v>
      </c>
      <c r="D437" s="2">
        <v>9371895.3499999996</v>
      </c>
      <c r="E437" s="2">
        <v>9071109.25</v>
      </c>
      <c r="F437" s="2">
        <v>7562291.7800000003</v>
      </c>
      <c r="G437" s="2">
        <v>981018.43</v>
      </c>
    </row>
    <row r="438" spans="1:7" x14ac:dyDescent="0.25">
      <c r="A438" s="1">
        <v>44958</v>
      </c>
      <c r="B438" t="s">
        <v>37</v>
      </c>
      <c r="C438" t="s">
        <v>252</v>
      </c>
      <c r="D438" s="2">
        <v>8877479.2200000007</v>
      </c>
      <c r="E438" s="2">
        <v>109634225.38</v>
      </c>
      <c r="F438" s="2">
        <v>102076346.08</v>
      </c>
      <c r="G438" s="2">
        <v>4255210.95</v>
      </c>
    </row>
    <row r="439" spans="1:7" x14ac:dyDescent="0.25">
      <c r="A439" s="1">
        <v>44958</v>
      </c>
      <c r="B439" t="s">
        <v>37</v>
      </c>
      <c r="C439" t="s">
        <v>253</v>
      </c>
      <c r="D439" s="2">
        <v>3503698.67</v>
      </c>
      <c r="E439" s="2">
        <v>17408158.989999998</v>
      </c>
      <c r="F439" s="2">
        <v>17910883.829999998</v>
      </c>
      <c r="G439" s="2">
        <v>2893822.31</v>
      </c>
    </row>
    <row r="440" spans="1:7" x14ac:dyDescent="0.25">
      <c r="A440" s="1">
        <v>44958</v>
      </c>
      <c r="B440" t="s">
        <v>37</v>
      </c>
      <c r="C440" t="s">
        <v>254</v>
      </c>
      <c r="D440" s="2">
        <v>1633215.29</v>
      </c>
      <c r="E440" s="2">
        <v>7848840.46</v>
      </c>
      <c r="F440" s="2">
        <v>7949070.5599999996</v>
      </c>
      <c r="G440" s="2">
        <v>613115.92000000004</v>
      </c>
    </row>
    <row r="441" spans="1:7" x14ac:dyDescent="0.25">
      <c r="A441" s="1">
        <v>44958</v>
      </c>
      <c r="B441" t="s">
        <v>37</v>
      </c>
      <c r="C441" t="s">
        <v>255</v>
      </c>
      <c r="D441" s="2">
        <v>14468830.17</v>
      </c>
      <c r="E441" s="2">
        <v>79631977.140000001</v>
      </c>
      <c r="F441" s="2">
        <v>75776877.060000002</v>
      </c>
      <c r="G441" s="2">
        <v>14825338.890000001</v>
      </c>
    </row>
    <row r="442" spans="1:7" x14ac:dyDescent="0.25">
      <c r="A442" s="1">
        <v>44958</v>
      </c>
      <c r="B442" t="s">
        <v>37</v>
      </c>
      <c r="C442" t="s">
        <v>256</v>
      </c>
      <c r="D442" s="2">
        <v>18476469.82</v>
      </c>
      <c r="E442" s="2">
        <v>32612103.539999999</v>
      </c>
      <c r="F442" s="2">
        <v>29207232.129999999</v>
      </c>
      <c r="G442" s="2">
        <v>2657941.9</v>
      </c>
    </row>
    <row r="443" spans="1:7" x14ac:dyDescent="0.25">
      <c r="A443" s="1">
        <v>44958</v>
      </c>
      <c r="B443" t="s">
        <v>37</v>
      </c>
      <c r="C443" t="s">
        <v>257</v>
      </c>
      <c r="D443" s="2">
        <v>13442093.57</v>
      </c>
      <c r="E443" s="2">
        <v>178862911.84999999</v>
      </c>
      <c r="F443" s="2">
        <v>181476321.81999999</v>
      </c>
      <c r="G443" s="2">
        <v>9571487.3100000005</v>
      </c>
    </row>
    <row r="444" spans="1:7" x14ac:dyDescent="0.25">
      <c r="A444" s="1">
        <v>44958</v>
      </c>
      <c r="B444" t="s">
        <v>37</v>
      </c>
      <c r="C444" t="s">
        <v>258</v>
      </c>
      <c r="D444" s="2">
        <v>57233705.310000002</v>
      </c>
      <c r="E444" s="2">
        <v>37017578.590000004</v>
      </c>
      <c r="F444" s="2">
        <v>36832559.030000001</v>
      </c>
      <c r="G444" s="2">
        <v>3161191.24</v>
      </c>
    </row>
    <row r="445" spans="1:7" x14ac:dyDescent="0.25">
      <c r="A445" s="1">
        <v>44958</v>
      </c>
      <c r="B445" t="s">
        <v>37</v>
      </c>
      <c r="C445" t="s">
        <v>259</v>
      </c>
      <c r="D445" s="2">
        <v>9725614.0800000001</v>
      </c>
      <c r="E445" s="2">
        <v>138570175.12</v>
      </c>
      <c r="F445" s="2">
        <v>136484468.41999999</v>
      </c>
      <c r="G445" s="2">
        <v>10670260.51</v>
      </c>
    </row>
    <row r="446" spans="1:7" x14ac:dyDescent="0.25">
      <c r="A446" s="1">
        <v>44958</v>
      </c>
      <c r="B446" t="s">
        <v>37</v>
      </c>
      <c r="C446" t="s">
        <v>260</v>
      </c>
      <c r="D446" s="2">
        <v>471707.82</v>
      </c>
      <c r="E446" s="2">
        <v>6044360.6200000001</v>
      </c>
      <c r="F446" s="2">
        <v>5831562.5700000003</v>
      </c>
      <c r="G446" s="2">
        <v>639713.46</v>
      </c>
    </row>
    <row r="447" spans="1:7" x14ac:dyDescent="0.25">
      <c r="A447" s="1">
        <v>44958</v>
      </c>
      <c r="B447" t="s">
        <v>37</v>
      </c>
      <c r="C447" t="s">
        <v>261</v>
      </c>
      <c r="D447" s="2">
        <v>2277910.5299999998</v>
      </c>
      <c r="E447" s="2">
        <v>19061270.760000002</v>
      </c>
      <c r="F447" s="2">
        <v>18170745.170000002</v>
      </c>
      <c r="G447" s="2">
        <v>1547334.53</v>
      </c>
    </row>
    <row r="448" spans="1:7" x14ac:dyDescent="0.25">
      <c r="A448" s="1">
        <v>44958</v>
      </c>
      <c r="B448" t="s">
        <v>37</v>
      </c>
      <c r="C448" t="s">
        <v>262</v>
      </c>
      <c r="D448" s="2">
        <v>25443533.329999998</v>
      </c>
      <c r="E448" s="2">
        <v>145835708.31</v>
      </c>
      <c r="F448" s="2">
        <v>139915440.63999999</v>
      </c>
      <c r="G448" s="2">
        <v>11585672.9</v>
      </c>
    </row>
    <row r="449" spans="1:7" x14ac:dyDescent="0.25">
      <c r="A449" s="1">
        <v>44958</v>
      </c>
      <c r="B449" t="s">
        <v>37</v>
      </c>
      <c r="C449" t="s">
        <v>263</v>
      </c>
      <c r="D449" s="2">
        <v>8274841.6600000001</v>
      </c>
      <c r="E449" s="2">
        <v>125026107.09999999</v>
      </c>
      <c r="F449" s="2">
        <v>121504771.79000001</v>
      </c>
      <c r="G449" s="2">
        <v>3602719.28</v>
      </c>
    </row>
    <row r="450" spans="1:7" x14ac:dyDescent="0.25">
      <c r="A450" s="1">
        <v>44958</v>
      </c>
      <c r="B450" t="s">
        <v>37</v>
      </c>
      <c r="C450" t="s">
        <v>264</v>
      </c>
      <c r="D450" s="2">
        <v>30282384.079999998</v>
      </c>
      <c r="E450" s="2">
        <v>112198097.54000001</v>
      </c>
      <c r="F450" s="2">
        <v>110533877.7</v>
      </c>
      <c r="G450" s="2">
        <v>3111820.29</v>
      </c>
    </row>
    <row r="451" spans="1:7" x14ac:dyDescent="0.25">
      <c r="A451" s="1">
        <v>44958</v>
      </c>
      <c r="B451" t="s">
        <v>37</v>
      </c>
      <c r="C451" t="s">
        <v>265</v>
      </c>
      <c r="D451" s="2">
        <v>3264590.15</v>
      </c>
      <c r="E451" s="2">
        <v>73278042.129999995</v>
      </c>
      <c r="F451" s="2">
        <v>70727471.090000004</v>
      </c>
      <c r="G451" s="2">
        <v>10379474.01</v>
      </c>
    </row>
    <row r="452" spans="1:7" x14ac:dyDescent="0.25">
      <c r="A452" s="1">
        <v>44958</v>
      </c>
      <c r="B452" t="s">
        <v>37</v>
      </c>
      <c r="C452" t="s">
        <v>266</v>
      </c>
      <c r="D452" s="2">
        <v>4257789</v>
      </c>
      <c r="E452" s="2">
        <v>4624950.22</v>
      </c>
      <c r="F452" s="2">
        <v>4652307.22</v>
      </c>
      <c r="G452" s="2">
        <v>35290.269999999997</v>
      </c>
    </row>
    <row r="453" spans="1:7" x14ac:dyDescent="0.25">
      <c r="A453" s="1">
        <v>44958</v>
      </c>
      <c r="B453" t="s">
        <v>37</v>
      </c>
      <c r="C453" t="s">
        <v>267</v>
      </c>
      <c r="D453" s="2">
        <v>1961249.59</v>
      </c>
      <c r="E453" s="2">
        <v>8541127.9499999993</v>
      </c>
      <c r="F453" s="2">
        <v>9006186.8000000007</v>
      </c>
      <c r="G453" s="2">
        <v>1753381.89</v>
      </c>
    </row>
    <row r="454" spans="1:7" x14ac:dyDescent="0.25">
      <c r="A454" s="1">
        <v>44958</v>
      </c>
      <c r="B454" t="s">
        <v>37</v>
      </c>
      <c r="C454" t="s">
        <v>268</v>
      </c>
      <c r="D454" s="2">
        <v>17977027.120000001</v>
      </c>
      <c r="E454" s="2">
        <v>125836541.2</v>
      </c>
      <c r="F454" s="2">
        <v>123849944.42</v>
      </c>
      <c r="G454" s="2">
        <v>4388783.3</v>
      </c>
    </row>
    <row r="455" spans="1:7" x14ac:dyDescent="0.25">
      <c r="A455" s="1">
        <v>44958</v>
      </c>
      <c r="B455" t="s">
        <v>37</v>
      </c>
      <c r="C455" t="s">
        <v>269</v>
      </c>
      <c r="D455" s="2">
        <v>5527818.9900000002</v>
      </c>
      <c r="E455" s="2">
        <v>5672115.46</v>
      </c>
      <c r="F455" s="2">
        <v>5374892.46</v>
      </c>
      <c r="G455" s="2">
        <v>1116181.57</v>
      </c>
    </row>
    <row r="456" spans="1:7" x14ac:dyDescent="0.25">
      <c r="A456" s="1">
        <v>44958</v>
      </c>
      <c r="B456" t="s">
        <v>37</v>
      </c>
      <c r="C456" t="s">
        <v>270</v>
      </c>
      <c r="D456" s="2">
        <v>8108337.1799999997</v>
      </c>
      <c r="E456" s="2">
        <v>84607207.430000007</v>
      </c>
      <c r="F456" s="2">
        <v>84404457.829999998</v>
      </c>
      <c r="G456" s="2">
        <v>3420821.49</v>
      </c>
    </row>
    <row r="457" spans="1:7" x14ac:dyDescent="0.25">
      <c r="A457" s="1">
        <v>44958</v>
      </c>
      <c r="B457" t="s">
        <v>37</v>
      </c>
      <c r="C457" t="s">
        <v>271</v>
      </c>
      <c r="D457" s="2">
        <v>6341731.9699999997</v>
      </c>
      <c r="E457" s="2">
        <v>50924894.850000001</v>
      </c>
      <c r="F457" s="2">
        <v>47131967.359999999</v>
      </c>
      <c r="G457" s="2">
        <v>1232857.94</v>
      </c>
    </row>
    <row r="458" spans="1:7" x14ac:dyDescent="0.25">
      <c r="A458" s="1">
        <v>44958</v>
      </c>
      <c r="B458" t="s">
        <v>37</v>
      </c>
      <c r="C458" t="s">
        <v>272</v>
      </c>
      <c r="D458" s="2">
        <v>337499.48</v>
      </c>
      <c r="E458">
        <v>0</v>
      </c>
      <c r="F458" s="2">
        <v>161633.24</v>
      </c>
      <c r="G458" s="2">
        <v>358974.38</v>
      </c>
    </row>
    <row r="459" spans="1:7" x14ac:dyDescent="0.25">
      <c r="A459" s="1">
        <v>44958</v>
      </c>
      <c r="B459" t="s">
        <v>37</v>
      </c>
      <c r="C459" t="s">
        <v>273</v>
      </c>
      <c r="D459" s="2">
        <v>1032098.86</v>
      </c>
      <c r="E459" s="2">
        <v>8513653.4700000007</v>
      </c>
      <c r="F459" s="2">
        <v>8295449.8200000003</v>
      </c>
      <c r="G459" s="2">
        <v>673171.36</v>
      </c>
    </row>
    <row r="460" spans="1:7" x14ac:dyDescent="0.25">
      <c r="A460" s="1">
        <v>44958</v>
      </c>
      <c r="B460" t="s">
        <v>37</v>
      </c>
      <c r="C460" t="s">
        <v>274</v>
      </c>
      <c r="D460" s="2">
        <v>1315868.53</v>
      </c>
      <c r="E460" s="2">
        <v>15491030.789999999</v>
      </c>
      <c r="F460" s="2">
        <v>14478599.789999999</v>
      </c>
      <c r="G460" s="2">
        <v>3061712.72</v>
      </c>
    </row>
    <row r="461" spans="1:7" x14ac:dyDescent="0.25">
      <c r="A461" s="1">
        <v>44958</v>
      </c>
      <c r="B461" t="s">
        <v>37</v>
      </c>
      <c r="C461" t="s">
        <v>275</v>
      </c>
      <c r="D461" s="2">
        <v>16193763.4</v>
      </c>
      <c r="E461" s="2">
        <v>145202106.80000001</v>
      </c>
      <c r="F461" s="2">
        <v>140836258.34</v>
      </c>
      <c r="G461" s="2">
        <v>4990522.63</v>
      </c>
    </row>
    <row r="462" spans="1:7" x14ac:dyDescent="0.25">
      <c r="A462" s="1">
        <v>44958</v>
      </c>
      <c r="B462" t="s">
        <v>37</v>
      </c>
      <c r="C462" t="s">
        <v>276</v>
      </c>
      <c r="D462" s="2">
        <v>54730402.409999996</v>
      </c>
      <c r="E462" s="2">
        <v>122594032.90000001</v>
      </c>
      <c r="F462" s="2">
        <v>122508310.18000001</v>
      </c>
      <c r="G462" s="2">
        <v>11143599.189999999</v>
      </c>
    </row>
    <row r="463" spans="1:7" x14ac:dyDescent="0.25">
      <c r="A463" s="1">
        <v>44958</v>
      </c>
      <c r="B463" t="s">
        <v>37</v>
      </c>
      <c r="C463" t="s">
        <v>277</v>
      </c>
      <c r="D463" s="2">
        <v>2766374.97</v>
      </c>
      <c r="E463" s="2">
        <v>24317676.920000002</v>
      </c>
      <c r="F463" s="2">
        <v>23339136.550000001</v>
      </c>
      <c r="G463" s="2">
        <v>2712026.78</v>
      </c>
    </row>
    <row r="464" spans="1:7" x14ac:dyDescent="0.25">
      <c r="A464" s="1">
        <v>44958</v>
      </c>
      <c r="B464" t="s">
        <v>37</v>
      </c>
      <c r="C464" t="s">
        <v>278</v>
      </c>
      <c r="D464" s="2">
        <v>51566899.979999997</v>
      </c>
      <c r="E464" s="2">
        <v>313429703.12</v>
      </c>
      <c r="F464" s="2">
        <v>310698656.37</v>
      </c>
      <c r="G464" s="2">
        <v>9905120.6999999993</v>
      </c>
    </row>
    <row r="465" spans="1:7" x14ac:dyDescent="0.25">
      <c r="A465" s="1">
        <v>44958</v>
      </c>
      <c r="B465" t="s">
        <v>37</v>
      </c>
      <c r="C465" t="s">
        <v>279</v>
      </c>
      <c r="D465" s="2">
        <v>17680130.510000002</v>
      </c>
      <c r="E465" s="2">
        <v>52460973.25</v>
      </c>
      <c r="F465" s="2">
        <v>47977087.630000003</v>
      </c>
      <c r="G465" s="2">
        <v>531050.93999999994</v>
      </c>
    </row>
    <row r="466" spans="1:7" x14ac:dyDescent="0.25">
      <c r="A466" s="1">
        <v>44958</v>
      </c>
      <c r="B466" t="s">
        <v>37</v>
      </c>
      <c r="C466" t="s">
        <v>280</v>
      </c>
      <c r="D466" s="2">
        <v>15737575.85</v>
      </c>
      <c r="E466" s="2">
        <v>132479448.64</v>
      </c>
      <c r="F466" s="2">
        <v>138633595.22</v>
      </c>
      <c r="G466" s="2">
        <v>10941500.9</v>
      </c>
    </row>
    <row r="467" spans="1:7" x14ac:dyDescent="0.25">
      <c r="A467" s="1">
        <v>44958</v>
      </c>
      <c r="B467" t="s">
        <v>37</v>
      </c>
      <c r="C467" t="s">
        <v>281</v>
      </c>
      <c r="D467" s="2">
        <v>14366009.76</v>
      </c>
      <c r="E467" s="2">
        <v>154658258.88</v>
      </c>
      <c r="F467" s="2">
        <v>147244119.62</v>
      </c>
      <c r="G467" s="2">
        <v>12500293.27</v>
      </c>
    </row>
    <row r="468" spans="1:7" x14ac:dyDescent="0.25">
      <c r="A468" s="1">
        <v>44958</v>
      </c>
      <c r="B468" t="s">
        <v>37</v>
      </c>
      <c r="C468" t="s">
        <v>282</v>
      </c>
      <c r="D468" s="2">
        <v>6455843.1100000003</v>
      </c>
      <c r="E468" s="2">
        <v>8690496.9000000004</v>
      </c>
      <c r="F468" s="2">
        <v>9590675.2300000004</v>
      </c>
      <c r="G468" s="2">
        <v>654671.63</v>
      </c>
    </row>
    <row r="469" spans="1:7" x14ac:dyDescent="0.25">
      <c r="A469" s="1">
        <v>44958</v>
      </c>
      <c r="B469" t="s">
        <v>37</v>
      </c>
      <c r="C469" t="s">
        <v>283</v>
      </c>
      <c r="D469" s="2">
        <v>6652930.1900000004</v>
      </c>
      <c r="E469" s="2">
        <v>11843101.91</v>
      </c>
      <c r="F469" s="2">
        <v>10800048.539999999</v>
      </c>
      <c r="G469" s="2">
        <v>1528601.27</v>
      </c>
    </row>
    <row r="470" spans="1:7" x14ac:dyDescent="0.25">
      <c r="A470" s="1">
        <v>44958</v>
      </c>
      <c r="B470" t="s">
        <v>37</v>
      </c>
      <c r="C470" t="s">
        <v>284</v>
      </c>
      <c r="D470" s="2">
        <v>2753450.7</v>
      </c>
      <c r="E470" s="2">
        <v>44562224.259999998</v>
      </c>
      <c r="F470" s="2">
        <v>41276117.939999998</v>
      </c>
      <c r="G470" s="2">
        <v>1689285.83</v>
      </c>
    </row>
    <row r="471" spans="1:7" x14ac:dyDescent="0.25">
      <c r="A471" s="1">
        <v>44958</v>
      </c>
      <c r="B471" t="s">
        <v>37</v>
      </c>
      <c r="C471" t="s">
        <v>285</v>
      </c>
      <c r="D471" s="2">
        <v>5114082.75</v>
      </c>
      <c r="E471" s="2">
        <v>23476463.43</v>
      </c>
      <c r="F471" s="2">
        <v>23435094.350000001</v>
      </c>
      <c r="G471" s="2">
        <v>3001621.87</v>
      </c>
    </row>
    <row r="472" spans="1:7" x14ac:dyDescent="0.25">
      <c r="A472" s="1">
        <v>44958</v>
      </c>
      <c r="B472" t="s">
        <v>37</v>
      </c>
      <c r="C472" t="s">
        <v>286</v>
      </c>
      <c r="D472" s="2">
        <v>202582715.36000001</v>
      </c>
      <c r="E472" s="2">
        <v>183772276.41</v>
      </c>
      <c r="F472" s="2">
        <v>176667515.83000001</v>
      </c>
      <c r="G472" s="2">
        <v>11847804.619999999</v>
      </c>
    </row>
    <row r="473" spans="1:7" x14ac:dyDescent="0.25">
      <c r="A473" s="1">
        <v>44958</v>
      </c>
      <c r="B473" t="s">
        <v>37</v>
      </c>
      <c r="C473" t="s">
        <v>287</v>
      </c>
      <c r="D473" s="2">
        <v>24022401.27</v>
      </c>
      <c r="E473" s="2">
        <v>18826023.43</v>
      </c>
      <c r="F473" s="2">
        <v>18583200.73</v>
      </c>
      <c r="G473" s="2">
        <v>813204</v>
      </c>
    </row>
    <row r="474" spans="1:7" x14ac:dyDescent="0.25">
      <c r="A474" s="1">
        <v>44958</v>
      </c>
      <c r="B474" t="s">
        <v>37</v>
      </c>
      <c r="C474" t="s">
        <v>288</v>
      </c>
      <c r="D474" s="2">
        <v>81604798.930000007</v>
      </c>
      <c r="E474" s="2">
        <v>49072302.469999999</v>
      </c>
      <c r="F474" s="2">
        <v>46553861.729999997</v>
      </c>
      <c r="G474" s="2">
        <v>2095951.26</v>
      </c>
    </row>
    <row r="475" spans="1:7" x14ac:dyDescent="0.25">
      <c r="A475" s="1">
        <v>44958</v>
      </c>
      <c r="B475" t="s">
        <v>37</v>
      </c>
      <c r="C475" t="s">
        <v>289</v>
      </c>
      <c r="D475" s="2">
        <v>15733120.710000001</v>
      </c>
      <c r="E475" s="2">
        <v>69881655.099999994</v>
      </c>
      <c r="F475" s="2">
        <v>64439431.560000002</v>
      </c>
      <c r="G475" s="2">
        <v>5080047.99</v>
      </c>
    </row>
    <row r="476" spans="1:7" x14ac:dyDescent="0.25">
      <c r="A476" s="1">
        <v>44958</v>
      </c>
      <c r="B476" t="s">
        <v>37</v>
      </c>
      <c r="C476" t="s">
        <v>290</v>
      </c>
      <c r="D476" s="2">
        <v>6348188.0499999998</v>
      </c>
      <c r="E476" s="2">
        <v>23482230.350000001</v>
      </c>
      <c r="F476" s="2">
        <v>21986204.440000001</v>
      </c>
      <c r="G476" s="2">
        <v>2517422.59</v>
      </c>
    </row>
    <row r="477" spans="1:7" x14ac:dyDescent="0.25">
      <c r="A477" s="1">
        <v>44958</v>
      </c>
      <c r="B477" t="s">
        <v>37</v>
      </c>
      <c r="C477" t="s">
        <v>291</v>
      </c>
      <c r="D477" s="2">
        <v>6245723.4299999997</v>
      </c>
      <c r="E477" s="2">
        <v>75206175.969999999</v>
      </c>
      <c r="F477" s="2">
        <v>73805668.260000005</v>
      </c>
      <c r="G477" s="2">
        <v>7554263.1799999997</v>
      </c>
    </row>
    <row r="478" spans="1:7" x14ac:dyDescent="0.25">
      <c r="A478" s="1">
        <v>44958</v>
      </c>
      <c r="B478" t="s">
        <v>19</v>
      </c>
      <c r="C478" t="s">
        <v>292</v>
      </c>
      <c r="D478" s="2">
        <v>42496235.119999997</v>
      </c>
      <c r="E478" s="2">
        <v>12408359.810000001</v>
      </c>
      <c r="F478" s="2">
        <v>13420304.369999999</v>
      </c>
      <c r="G478" s="2">
        <v>13489625.6</v>
      </c>
    </row>
    <row r="479" spans="1:7" x14ac:dyDescent="0.25">
      <c r="A479" s="1">
        <v>44986</v>
      </c>
      <c r="B479" t="s">
        <v>7</v>
      </c>
      <c r="C479" t="s">
        <v>8</v>
      </c>
      <c r="D479" s="2">
        <v>29334432.77</v>
      </c>
      <c r="E479" s="2">
        <v>311396594.87</v>
      </c>
      <c r="F479" s="2">
        <v>323154408.05000001</v>
      </c>
      <c r="G479" s="2">
        <v>4590031.07</v>
      </c>
    </row>
    <row r="480" spans="1:7" x14ac:dyDescent="0.25">
      <c r="A480" s="1">
        <v>44986</v>
      </c>
      <c r="B480" t="s">
        <v>9</v>
      </c>
      <c r="C480" t="s">
        <v>10</v>
      </c>
      <c r="D480" s="2">
        <v>1886444.56</v>
      </c>
      <c r="E480" s="2">
        <v>2520845.15</v>
      </c>
      <c r="F480" s="2">
        <v>2662875.7599999998</v>
      </c>
      <c r="G480" s="2">
        <v>401468.81</v>
      </c>
    </row>
    <row r="481" spans="1:7" x14ac:dyDescent="0.25">
      <c r="A481" s="1">
        <v>44986</v>
      </c>
      <c r="B481" t="s">
        <v>11</v>
      </c>
      <c r="C481" t="s">
        <v>12</v>
      </c>
      <c r="D481" s="2">
        <v>1439990.56</v>
      </c>
      <c r="E481" s="2">
        <v>39402952.890000001</v>
      </c>
      <c r="F481" s="2">
        <v>38595731.409999996</v>
      </c>
      <c r="G481" s="2">
        <v>422944.11</v>
      </c>
    </row>
    <row r="482" spans="1:7" x14ac:dyDescent="0.25">
      <c r="A482" s="1">
        <v>44986</v>
      </c>
      <c r="B482" t="s">
        <v>13</v>
      </c>
      <c r="C482" t="s">
        <v>14</v>
      </c>
      <c r="D482" s="2">
        <v>325970.7</v>
      </c>
      <c r="E482" s="2">
        <v>571307041.71000004</v>
      </c>
      <c r="F482" s="2">
        <v>571252690.61000001</v>
      </c>
      <c r="G482" s="2">
        <v>5352624.72</v>
      </c>
    </row>
    <row r="483" spans="1:7" x14ac:dyDescent="0.25">
      <c r="A483" s="1">
        <v>44986</v>
      </c>
      <c r="B483" t="s">
        <v>13</v>
      </c>
      <c r="C483" t="s">
        <v>15</v>
      </c>
      <c r="D483" s="2">
        <v>-7070615.5</v>
      </c>
      <c r="E483" s="2">
        <v>642696516.90999997</v>
      </c>
      <c r="F483" s="2">
        <v>641866345.99000001</v>
      </c>
      <c r="G483" s="2">
        <v>123856731.62</v>
      </c>
    </row>
    <row r="484" spans="1:7" x14ac:dyDescent="0.25">
      <c r="A484" s="1">
        <v>44986</v>
      </c>
      <c r="B484" t="s">
        <v>16</v>
      </c>
      <c r="C484" t="s">
        <v>17</v>
      </c>
      <c r="D484" s="2">
        <v>734725.22</v>
      </c>
      <c r="E484" s="2">
        <v>22359763.260000002</v>
      </c>
      <c r="F484" s="2">
        <v>21858871.149999999</v>
      </c>
      <c r="G484" s="2">
        <v>673352.58</v>
      </c>
    </row>
    <row r="485" spans="1:7" x14ac:dyDescent="0.25">
      <c r="A485" s="1">
        <v>44986</v>
      </c>
      <c r="B485" t="s">
        <v>11</v>
      </c>
      <c r="C485" t="s">
        <v>18</v>
      </c>
      <c r="D485" s="2">
        <v>1949993.29</v>
      </c>
      <c r="E485" s="2">
        <v>12207125.26</v>
      </c>
      <c r="F485" s="2">
        <v>11049496.92</v>
      </c>
      <c r="G485" s="2">
        <v>1618280.21</v>
      </c>
    </row>
    <row r="486" spans="1:7" x14ac:dyDescent="0.25">
      <c r="A486" s="1">
        <v>44986</v>
      </c>
      <c r="B486" t="s">
        <v>19</v>
      </c>
      <c r="C486" t="s">
        <v>20</v>
      </c>
      <c r="D486" s="2">
        <v>4329385.99</v>
      </c>
      <c r="E486" s="2">
        <v>43410054.049999997</v>
      </c>
      <c r="F486" s="2">
        <v>33805620.5</v>
      </c>
      <c r="G486" s="2">
        <v>8369076.5800000001</v>
      </c>
    </row>
    <row r="487" spans="1:7" x14ac:dyDescent="0.25">
      <c r="A487" s="1">
        <v>44986</v>
      </c>
      <c r="B487" t="s">
        <v>16</v>
      </c>
      <c r="C487" t="s">
        <v>21</v>
      </c>
      <c r="D487" s="2">
        <v>59147370.299999997</v>
      </c>
      <c r="E487" s="2">
        <v>56639560.770000003</v>
      </c>
      <c r="F487" s="2">
        <v>57310260.149999999</v>
      </c>
      <c r="G487" s="2">
        <v>3858083.11</v>
      </c>
    </row>
    <row r="488" spans="1:7" x14ac:dyDescent="0.25">
      <c r="A488" s="1">
        <v>44986</v>
      </c>
      <c r="B488" t="s">
        <v>22</v>
      </c>
      <c r="C488" t="s">
        <v>23</v>
      </c>
      <c r="D488" s="2">
        <v>-65222.07</v>
      </c>
      <c r="E488" s="2">
        <v>15597508.060000001</v>
      </c>
      <c r="F488" s="2">
        <v>15689686.689999999</v>
      </c>
      <c r="G488" s="2">
        <v>4735056.78</v>
      </c>
    </row>
    <row r="489" spans="1:7" x14ac:dyDescent="0.25">
      <c r="A489" s="1">
        <v>44986</v>
      </c>
      <c r="B489" t="s">
        <v>24</v>
      </c>
      <c r="C489" t="s">
        <v>25</v>
      </c>
      <c r="D489" s="2">
        <v>-2390417.42</v>
      </c>
      <c r="E489" s="2">
        <v>9157250.1999999993</v>
      </c>
      <c r="F489" s="2">
        <v>9486713.9299999997</v>
      </c>
      <c r="G489" s="2">
        <v>200252904.47</v>
      </c>
    </row>
    <row r="490" spans="1:7" x14ac:dyDescent="0.25">
      <c r="A490" s="1">
        <v>44986</v>
      </c>
      <c r="B490" t="s">
        <v>13</v>
      </c>
      <c r="C490" t="s">
        <v>26</v>
      </c>
      <c r="D490" s="2">
        <v>3167048021.1500001</v>
      </c>
      <c r="E490" s="2">
        <v>3151081801.48</v>
      </c>
      <c r="F490" s="2">
        <v>3148132354.5300002</v>
      </c>
      <c r="G490" s="2">
        <v>13199008.76</v>
      </c>
    </row>
    <row r="491" spans="1:7" x14ac:dyDescent="0.25">
      <c r="A491" s="1">
        <v>44986</v>
      </c>
      <c r="B491" t="s">
        <v>27</v>
      </c>
      <c r="C491" t="s">
        <v>28</v>
      </c>
      <c r="D491" s="2">
        <v>12712436.25</v>
      </c>
      <c r="E491" s="2">
        <v>42024620.060000002</v>
      </c>
      <c r="F491" s="2">
        <v>48422108.469999999</v>
      </c>
      <c r="G491" s="2">
        <v>11728662.26</v>
      </c>
    </row>
    <row r="492" spans="1:7" x14ac:dyDescent="0.25">
      <c r="A492" s="1">
        <v>44986</v>
      </c>
      <c r="B492" t="s">
        <v>29</v>
      </c>
      <c r="C492" t="s">
        <v>30</v>
      </c>
      <c r="D492" s="2">
        <v>5119107.9800000004</v>
      </c>
      <c r="E492" s="2">
        <v>35240005.859999999</v>
      </c>
      <c r="F492" s="2">
        <v>30601822.800000001</v>
      </c>
      <c r="G492" s="2">
        <v>4121420.32</v>
      </c>
    </row>
    <row r="493" spans="1:7" x14ac:dyDescent="0.25">
      <c r="A493" s="1">
        <v>44986</v>
      </c>
      <c r="B493" t="s">
        <v>33</v>
      </c>
      <c r="C493" t="s">
        <v>34</v>
      </c>
      <c r="D493" s="2">
        <v>284940592.80000001</v>
      </c>
      <c r="E493" s="2">
        <v>296849401.10000002</v>
      </c>
      <c r="F493" s="2">
        <v>291915636.04000002</v>
      </c>
      <c r="G493" s="2">
        <v>7105018.3200000003</v>
      </c>
    </row>
    <row r="494" spans="1:7" x14ac:dyDescent="0.25">
      <c r="A494" s="1">
        <v>44986</v>
      </c>
      <c r="B494" t="s">
        <v>29</v>
      </c>
      <c r="C494" t="s">
        <v>35</v>
      </c>
      <c r="D494" s="2">
        <v>-2556481.25</v>
      </c>
      <c r="E494" s="2">
        <v>10888934.32</v>
      </c>
      <c r="F494" s="2">
        <v>10851124.300000001</v>
      </c>
      <c r="G494" s="2">
        <v>13693093.869999999</v>
      </c>
    </row>
    <row r="495" spans="1:7" x14ac:dyDescent="0.25">
      <c r="A495" s="1">
        <v>44986</v>
      </c>
      <c r="B495" t="s">
        <v>29</v>
      </c>
      <c r="C495" t="s">
        <v>36</v>
      </c>
      <c r="D495" s="2">
        <v>576000</v>
      </c>
      <c r="E495" s="2">
        <v>348497.54</v>
      </c>
      <c r="F495" s="2">
        <v>349925.89</v>
      </c>
      <c r="G495" s="2">
        <v>126688.52</v>
      </c>
    </row>
    <row r="496" spans="1:7" x14ac:dyDescent="0.25">
      <c r="A496" s="1">
        <v>44986</v>
      </c>
      <c r="B496" t="s">
        <v>37</v>
      </c>
      <c r="C496" t="s">
        <v>38</v>
      </c>
      <c r="D496" s="2">
        <v>4223557.8600000003</v>
      </c>
      <c r="E496" s="2">
        <v>32596707.219999999</v>
      </c>
      <c r="F496" s="2">
        <v>35039610.560000002</v>
      </c>
      <c r="G496" s="2">
        <v>1799683.79</v>
      </c>
    </row>
    <row r="497" spans="1:7" x14ac:dyDescent="0.25">
      <c r="A497" s="1">
        <v>44986</v>
      </c>
      <c r="B497" t="s">
        <v>37</v>
      </c>
      <c r="C497" t="s">
        <v>39</v>
      </c>
      <c r="D497" s="2">
        <v>2878353.38</v>
      </c>
      <c r="E497" s="2">
        <v>37721663.049999997</v>
      </c>
      <c r="F497" s="2">
        <v>37348406.5</v>
      </c>
      <c r="G497" s="2">
        <v>2584983.69</v>
      </c>
    </row>
    <row r="498" spans="1:7" x14ac:dyDescent="0.25">
      <c r="A498" s="1">
        <v>44986</v>
      </c>
      <c r="B498" t="s">
        <v>9</v>
      </c>
      <c r="C498" t="s">
        <v>40</v>
      </c>
      <c r="D498" s="2">
        <v>-142665.95000000001</v>
      </c>
      <c r="E498" s="2">
        <v>3461222.58</v>
      </c>
      <c r="F498" s="2">
        <v>3460793.89</v>
      </c>
      <c r="G498" s="2">
        <v>131983.88</v>
      </c>
    </row>
    <row r="499" spans="1:7" x14ac:dyDescent="0.25">
      <c r="A499" s="1">
        <v>44986</v>
      </c>
      <c r="B499" t="s">
        <v>37</v>
      </c>
      <c r="C499" t="s">
        <v>41</v>
      </c>
      <c r="D499" s="2">
        <v>-2043865.78</v>
      </c>
      <c r="E499" s="2">
        <v>53822259.899999999</v>
      </c>
      <c r="F499" s="2">
        <v>58385409.770000003</v>
      </c>
      <c r="G499" s="2">
        <v>4201019.5599999996</v>
      </c>
    </row>
    <row r="500" spans="1:7" x14ac:dyDescent="0.25">
      <c r="A500" s="1">
        <v>44986</v>
      </c>
      <c r="B500" t="s">
        <v>29</v>
      </c>
      <c r="C500" t="s">
        <v>42</v>
      </c>
      <c r="D500" s="2">
        <v>1726128043.5699999</v>
      </c>
      <c r="E500" s="2">
        <v>1928757725.5999999</v>
      </c>
      <c r="F500" s="2">
        <v>1898437411.8900001</v>
      </c>
      <c r="G500" s="2">
        <v>267594503.44</v>
      </c>
    </row>
    <row r="501" spans="1:7" x14ac:dyDescent="0.25">
      <c r="A501" s="1">
        <v>44986</v>
      </c>
      <c r="B501" t="s">
        <v>29</v>
      </c>
      <c r="C501" t="s">
        <v>43</v>
      </c>
      <c r="D501" s="2">
        <v>316578814.63</v>
      </c>
      <c r="E501" s="2">
        <v>2153637339.1199999</v>
      </c>
      <c r="F501" s="2">
        <v>2211473731.2399998</v>
      </c>
      <c r="G501" s="2">
        <v>184298960.74000001</v>
      </c>
    </row>
    <row r="502" spans="1:7" x14ac:dyDescent="0.25">
      <c r="A502" s="1">
        <v>44986</v>
      </c>
      <c r="B502" t="s">
        <v>29</v>
      </c>
      <c r="C502" t="s">
        <v>44</v>
      </c>
      <c r="D502" s="2">
        <v>429152515.54000002</v>
      </c>
      <c r="E502" s="2">
        <v>3975071264.3800001</v>
      </c>
      <c r="F502" s="2">
        <v>3761080958.9400001</v>
      </c>
      <c r="G502" s="2">
        <v>273343705.16000003</v>
      </c>
    </row>
    <row r="503" spans="1:7" x14ac:dyDescent="0.25">
      <c r="A503" s="1">
        <v>44986</v>
      </c>
      <c r="B503" t="s">
        <v>45</v>
      </c>
      <c r="C503" t="s">
        <v>46</v>
      </c>
      <c r="D503" s="2">
        <v>-4530246.0999999996</v>
      </c>
      <c r="E503" s="2">
        <v>16271052.16</v>
      </c>
      <c r="F503" s="2">
        <v>14809124.380000001</v>
      </c>
      <c r="G503" s="2">
        <v>2669093.12</v>
      </c>
    </row>
    <row r="504" spans="1:7" x14ac:dyDescent="0.25">
      <c r="A504" s="1">
        <v>44986</v>
      </c>
      <c r="B504" t="s">
        <v>9</v>
      </c>
      <c r="C504" t="s">
        <v>47</v>
      </c>
      <c r="D504" s="2">
        <v>8480576.4199999999</v>
      </c>
      <c r="E504" s="2">
        <v>70115184.069999993</v>
      </c>
      <c r="F504" s="2">
        <v>69081925.379999995</v>
      </c>
      <c r="G504" s="2">
        <v>13893859.65</v>
      </c>
    </row>
    <row r="505" spans="1:7" x14ac:dyDescent="0.25">
      <c r="A505" s="1">
        <v>44986</v>
      </c>
      <c r="B505" t="s">
        <v>48</v>
      </c>
      <c r="C505" t="s">
        <v>49</v>
      </c>
      <c r="D505" s="2">
        <v>237894973.28999999</v>
      </c>
      <c r="E505" s="2">
        <v>99425053.299999997</v>
      </c>
      <c r="F505" s="2">
        <v>94477153.329999998</v>
      </c>
      <c r="G505" s="2">
        <v>14066790.17</v>
      </c>
    </row>
    <row r="506" spans="1:7" x14ac:dyDescent="0.25">
      <c r="A506" s="1">
        <v>44986</v>
      </c>
      <c r="B506" t="s">
        <v>50</v>
      </c>
      <c r="C506" t="s">
        <v>51</v>
      </c>
      <c r="D506" s="2">
        <v>25496384.289999999</v>
      </c>
      <c r="E506" s="2">
        <v>46221596.210000001</v>
      </c>
      <c r="F506" s="2">
        <v>44789785.329999998</v>
      </c>
      <c r="G506" s="2">
        <v>97494841.900000006</v>
      </c>
    </row>
    <row r="507" spans="1:7" x14ac:dyDescent="0.25">
      <c r="A507" s="1">
        <v>44986</v>
      </c>
      <c r="B507" t="s">
        <v>13</v>
      </c>
      <c r="C507" t="s">
        <v>52</v>
      </c>
      <c r="D507" s="2">
        <v>49563287.109999999</v>
      </c>
      <c r="E507" s="2">
        <v>51417738.859999999</v>
      </c>
      <c r="F507" s="2">
        <v>54628953.439999998</v>
      </c>
      <c r="G507" s="2">
        <v>3850266.67</v>
      </c>
    </row>
    <row r="508" spans="1:7" x14ac:dyDescent="0.25">
      <c r="A508" s="1">
        <v>44986</v>
      </c>
      <c r="B508" t="s">
        <v>53</v>
      </c>
      <c r="C508" t="s">
        <v>54</v>
      </c>
      <c r="D508" s="2">
        <v>47191061.130000003</v>
      </c>
      <c r="E508" s="2">
        <v>87262309.900000006</v>
      </c>
      <c r="F508" s="2">
        <v>113555109.73999999</v>
      </c>
      <c r="G508" s="2">
        <v>19280520.899999999</v>
      </c>
    </row>
    <row r="509" spans="1:7" x14ac:dyDescent="0.25">
      <c r="A509" s="1">
        <v>44986</v>
      </c>
      <c r="B509" t="s">
        <v>31</v>
      </c>
      <c r="C509" t="s">
        <v>55</v>
      </c>
      <c r="D509" s="2">
        <v>2399684.2000000002</v>
      </c>
      <c r="E509" s="2">
        <v>3635979.81</v>
      </c>
      <c r="F509" s="2">
        <v>3334248.71</v>
      </c>
      <c r="G509" s="2">
        <v>879879.52</v>
      </c>
    </row>
    <row r="510" spans="1:7" x14ac:dyDescent="0.25">
      <c r="A510" s="1">
        <v>44986</v>
      </c>
      <c r="B510" t="s">
        <v>9</v>
      </c>
      <c r="C510" t="s">
        <v>56</v>
      </c>
      <c r="D510" s="2">
        <v>214772553.56</v>
      </c>
      <c r="E510" s="2">
        <v>135471927.91999999</v>
      </c>
      <c r="F510" s="2">
        <v>111018926.25</v>
      </c>
      <c r="G510" s="2">
        <v>67711607.25</v>
      </c>
    </row>
    <row r="511" spans="1:7" x14ac:dyDescent="0.25">
      <c r="A511" s="1">
        <v>44986</v>
      </c>
      <c r="B511" t="s">
        <v>57</v>
      </c>
      <c r="C511" t="s">
        <v>58</v>
      </c>
      <c r="D511" s="2">
        <v>12620801.5</v>
      </c>
      <c r="E511" s="2">
        <v>94501939.189999998</v>
      </c>
      <c r="F511" s="2">
        <v>93290078.829999998</v>
      </c>
      <c r="G511" s="2">
        <v>2203076.0099999998</v>
      </c>
    </row>
    <row r="512" spans="1:7" x14ac:dyDescent="0.25">
      <c r="A512" s="1">
        <v>44986</v>
      </c>
      <c r="B512" t="s">
        <v>19</v>
      </c>
      <c r="C512" t="s">
        <v>59</v>
      </c>
      <c r="D512" s="2">
        <v>899951958.91999996</v>
      </c>
      <c r="E512" s="2">
        <v>238128258.86000001</v>
      </c>
      <c r="F512" s="2">
        <v>233428581.22999999</v>
      </c>
      <c r="G512" s="2">
        <v>705946963.24000001</v>
      </c>
    </row>
    <row r="513" spans="1:7" x14ac:dyDescent="0.25">
      <c r="A513" s="1">
        <v>44986</v>
      </c>
      <c r="B513" t="s">
        <v>50</v>
      </c>
      <c r="C513" t="s">
        <v>60</v>
      </c>
      <c r="D513" s="2">
        <v>81691032.370000005</v>
      </c>
      <c r="E513" s="2">
        <v>67480790.030000001</v>
      </c>
      <c r="F513" s="2">
        <v>63286462.329999998</v>
      </c>
      <c r="G513" s="2">
        <v>1130742.53</v>
      </c>
    </row>
    <row r="514" spans="1:7" x14ac:dyDescent="0.25">
      <c r="A514" s="1">
        <v>44986</v>
      </c>
      <c r="B514" t="s">
        <v>61</v>
      </c>
      <c r="C514" t="s">
        <v>62</v>
      </c>
      <c r="D514" s="2">
        <v>-271140499.85000002</v>
      </c>
      <c r="E514" s="2">
        <v>43167612.75</v>
      </c>
      <c r="F514" s="2">
        <v>50958169.729999997</v>
      </c>
      <c r="G514" s="2">
        <v>6376993.9900000002</v>
      </c>
    </row>
    <row r="515" spans="1:7" x14ac:dyDescent="0.25">
      <c r="A515" s="1">
        <v>44986</v>
      </c>
      <c r="B515" t="s">
        <v>63</v>
      </c>
      <c r="C515" t="s">
        <v>64</v>
      </c>
      <c r="D515" s="2">
        <v>18287983.120000001</v>
      </c>
      <c r="E515" s="2">
        <v>253455369.47999999</v>
      </c>
      <c r="F515" s="2">
        <v>247191081.49000001</v>
      </c>
      <c r="G515" s="2">
        <v>31646419.82</v>
      </c>
    </row>
    <row r="516" spans="1:7" x14ac:dyDescent="0.25">
      <c r="A516" s="1">
        <v>44986</v>
      </c>
      <c r="B516" t="s">
        <v>37</v>
      </c>
      <c r="C516" t="s">
        <v>65</v>
      </c>
      <c r="D516" s="2">
        <v>356348006.86000001</v>
      </c>
      <c r="E516" s="2">
        <v>702958688.76999998</v>
      </c>
      <c r="F516" s="2">
        <v>787315815.61000001</v>
      </c>
      <c r="G516" s="2">
        <v>121152554.5</v>
      </c>
    </row>
    <row r="517" spans="1:7" x14ac:dyDescent="0.25">
      <c r="A517" s="1">
        <v>44986</v>
      </c>
      <c r="B517" t="s">
        <v>13</v>
      </c>
      <c r="C517" t="s">
        <v>66</v>
      </c>
      <c r="D517" s="2">
        <v>-2556390.13</v>
      </c>
      <c r="E517" s="2">
        <v>12831376.880000001</v>
      </c>
      <c r="F517" s="2">
        <v>12013851.52</v>
      </c>
      <c r="G517" s="2">
        <v>80152.56</v>
      </c>
    </row>
    <row r="518" spans="1:7" x14ac:dyDescent="0.25">
      <c r="A518" s="1">
        <v>44986</v>
      </c>
      <c r="B518" t="s">
        <v>48</v>
      </c>
      <c r="C518" t="s">
        <v>67</v>
      </c>
      <c r="D518" s="2">
        <v>25035131.66</v>
      </c>
      <c r="E518" s="2">
        <v>25159990.760000002</v>
      </c>
      <c r="F518" s="2">
        <v>25684294.420000002</v>
      </c>
      <c r="G518" s="2">
        <v>4140526.19</v>
      </c>
    </row>
    <row r="519" spans="1:7" x14ac:dyDescent="0.25">
      <c r="A519" s="1">
        <v>44986</v>
      </c>
      <c r="B519" t="s">
        <v>9</v>
      </c>
      <c r="C519" t="s">
        <v>68</v>
      </c>
      <c r="D519" s="2">
        <v>29155.61</v>
      </c>
      <c r="E519" s="2">
        <v>29155.61</v>
      </c>
      <c r="F519" s="2">
        <v>29155.61</v>
      </c>
      <c r="G519">
        <v>0</v>
      </c>
    </row>
    <row r="520" spans="1:7" x14ac:dyDescent="0.25">
      <c r="A520" s="1">
        <v>44986</v>
      </c>
      <c r="B520" t="s">
        <v>69</v>
      </c>
      <c r="C520" t="s">
        <v>70</v>
      </c>
      <c r="D520" s="2">
        <v>-1987212.72</v>
      </c>
      <c r="E520" s="2">
        <v>899723.09</v>
      </c>
      <c r="F520" s="2">
        <v>885041.55</v>
      </c>
      <c r="G520" s="2">
        <v>9932.09</v>
      </c>
    </row>
    <row r="521" spans="1:7" x14ac:dyDescent="0.25">
      <c r="A521" s="1">
        <v>44986</v>
      </c>
      <c r="B521" t="s">
        <v>24</v>
      </c>
      <c r="C521" t="s">
        <v>71</v>
      </c>
      <c r="D521" s="2">
        <v>57758366.07</v>
      </c>
      <c r="E521" s="2">
        <v>9622092.8399999999</v>
      </c>
      <c r="F521" s="2">
        <v>9778111.1099999994</v>
      </c>
      <c r="G521" s="2">
        <v>1776842.26</v>
      </c>
    </row>
    <row r="522" spans="1:7" x14ac:dyDescent="0.25">
      <c r="A522" s="1">
        <v>44986</v>
      </c>
      <c r="B522" t="s">
        <v>24</v>
      </c>
      <c r="C522" t="s">
        <v>72</v>
      </c>
      <c r="D522" s="2">
        <v>-39643899.780000001</v>
      </c>
      <c r="E522" s="2">
        <v>3520643.24</v>
      </c>
      <c r="F522" s="2">
        <v>3543697.69</v>
      </c>
      <c r="G522" s="2">
        <v>123790.21</v>
      </c>
    </row>
    <row r="523" spans="1:7" x14ac:dyDescent="0.25">
      <c r="A523" s="1">
        <v>44986</v>
      </c>
      <c r="B523" t="s">
        <v>37</v>
      </c>
      <c r="C523" t="s">
        <v>73</v>
      </c>
      <c r="D523" s="2">
        <v>384219624.62</v>
      </c>
      <c r="E523" s="2">
        <v>140667703.88999999</v>
      </c>
      <c r="F523" s="2">
        <v>338054694.00999999</v>
      </c>
      <c r="G523" s="2">
        <v>58510329.009999998</v>
      </c>
    </row>
    <row r="524" spans="1:7" x14ac:dyDescent="0.25">
      <c r="A524" s="1">
        <v>44986</v>
      </c>
      <c r="B524" t="s">
        <v>24</v>
      </c>
      <c r="C524" t="s">
        <v>74</v>
      </c>
      <c r="D524" s="2">
        <v>-652119.63</v>
      </c>
      <c r="E524" s="2">
        <v>1349391.28</v>
      </c>
      <c r="F524" s="2">
        <v>1309026.97</v>
      </c>
      <c r="G524" s="2">
        <v>1797349.04</v>
      </c>
    </row>
    <row r="525" spans="1:7" x14ac:dyDescent="0.25">
      <c r="A525" s="1">
        <v>44986</v>
      </c>
      <c r="B525" t="s">
        <v>75</v>
      </c>
      <c r="C525" t="s">
        <v>76</v>
      </c>
      <c r="D525" s="2">
        <v>2459040.11</v>
      </c>
      <c r="E525" s="2">
        <v>4013793.46</v>
      </c>
      <c r="F525" s="2">
        <v>4059440.03</v>
      </c>
      <c r="G525" s="2">
        <v>2220174.6</v>
      </c>
    </row>
    <row r="526" spans="1:7" x14ac:dyDescent="0.25">
      <c r="A526" s="1">
        <v>44986</v>
      </c>
      <c r="B526" t="s">
        <v>77</v>
      </c>
      <c r="C526" t="s">
        <v>78</v>
      </c>
      <c r="D526" s="2">
        <v>46511006.68</v>
      </c>
      <c r="E526" s="2">
        <v>241169057.74000001</v>
      </c>
      <c r="F526" s="2">
        <v>244407943.49000001</v>
      </c>
      <c r="G526" s="2">
        <v>84533253.640000001</v>
      </c>
    </row>
    <row r="527" spans="1:7" x14ac:dyDescent="0.25">
      <c r="A527" s="1">
        <v>44986</v>
      </c>
      <c r="B527" t="s">
        <v>37</v>
      </c>
      <c r="C527" t="s">
        <v>79</v>
      </c>
      <c r="D527" s="2">
        <v>-13499635.619999999</v>
      </c>
      <c r="E527" s="2">
        <v>10029106.470000001</v>
      </c>
      <c r="F527" s="2">
        <v>10478688.68</v>
      </c>
      <c r="G527" s="2">
        <v>280812.45</v>
      </c>
    </row>
    <row r="528" spans="1:7" x14ac:dyDescent="0.25">
      <c r="A528" s="1">
        <v>44986</v>
      </c>
      <c r="B528" t="s">
        <v>80</v>
      </c>
      <c r="C528" t="s">
        <v>81</v>
      </c>
      <c r="D528" s="2">
        <v>2090237.16</v>
      </c>
      <c r="E528" s="2">
        <v>7226140.1600000001</v>
      </c>
      <c r="F528" s="2">
        <v>7451603.0300000003</v>
      </c>
      <c r="G528" s="2">
        <v>298447.65999999997</v>
      </c>
    </row>
    <row r="529" spans="1:7" x14ac:dyDescent="0.25">
      <c r="A529" s="1">
        <v>44986</v>
      </c>
      <c r="B529" t="s">
        <v>24</v>
      </c>
      <c r="C529" t="s">
        <v>82</v>
      </c>
      <c r="D529" s="2">
        <v>4180941.92</v>
      </c>
      <c r="E529" s="2">
        <v>8602128.3200000003</v>
      </c>
      <c r="F529" s="2">
        <v>6753478.3799999999</v>
      </c>
      <c r="G529" s="2">
        <v>5966828.2000000002</v>
      </c>
    </row>
    <row r="530" spans="1:7" x14ac:dyDescent="0.25">
      <c r="A530" s="1">
        <v>44986</v>
      </c>
      <c r="B530" t="s">
        <v>16</v>
      </c>
      <c r="C530" t="s">
        <v>83</v>
      </c>
      <c r="D530" s="2">
        <v>122261705.06</v>
      </c>
      <c r="E530" s="2">
        <v>139273215.03999999</v>
      </c>
      <c r="F530" s="2">
        <v>128235671.01000001</v>
      </c>
      <c r="G530" s="2">
        <v>27224509.77</v>
      </c>
    </row>
    <row r="531" spans="1:7" x14ac:dyDescent="0.25">
      <c r="A531" s="1">
        <v>44986</v>
      </c>
      <c r="B531" t="s">
        <v>84</v>
      </c>
      <c r="C531" t="s">
        <v>85</v>
      </c>
      <c r="D531" s="2">
        <v>14165653.689999999</v>
      </c>
      <c r="E531" s="2">
        <v>42270789.170000002</v>
      </c>
      <c r="F531" s="2">
        <v>41797711.909999996</v>
      </c>
      <c r="G531" s="2">
        <v>5037967.82</v>
      </c>
    </row>
    <row r="532" spans="1:7" x14ac:dyDescent="0.25">
      <c r="A532" s="1">
        <v>44986</v>
      </c>
      <c r="B532" t="s">
        <v>84</v>
      </c>
      <c r="C532" t="s">
        <v>86</v>
      </c>
      <c r="D532" s="2">
        <v>140865.96</v>
      </c>
      <c r="E532" s="2">
        <v>2392.63</v>
      </c>
      <c r="F532" s="2">
        <v>2392.63</v>
      </c>
      <c r="G532" s="2">
        <v>25361.07</v>
      </c>
    </row>
    <row r="533" spans="1:7" x14ac:dyDescent="0.25">
      <c r="A533" s="1">
        <v>44986</v>
      </c>
      <c r="B533" t="s">
        <v>16</v>
      </c>
      <c r="C533" t="s">
        <v>87</v>
      </c>
      <c r="D533" s="2">
        <v>862955697.00999999</v>
      </c>
      <c r="E533" s="2">
        <v>1362950203.1900001</v>
      </c>
      <c r="F533" s="2">
        <v>998371215.78999996</v>
      </c>
      <c r="G533" s="2">
        <v>541328996.80999994</v>
      </c>
    </row>
    <row r="534" spans="1:7" x14ac:dyDescent="0.25">
      <c r="A534" s="1">
        <v>44986</v>
      </c>
      <c r="B534" t="s">
        <v>29</v>
      </c>
      <c r="C534" t="s">
        <v>88</v>
      </c>
      <c r="D534" s="2">
        <v>83216.960000000006</v>
      </c>
      <c r="E534" s="2">
        <v>2080785.14</v>
      </c>
      <c r="F534" s="2">
        <v>2053909.99</v>
      </c>
      <c r="G534">
        <v>0</v>
      </c>
    </row>
    <row r="535" spans="1:7" x14ac:dyDescent="0.25">
      <c r="A535" s="1">
        <v>44986</v>
      </c>
      <c r="B535" t="s">
        <v>37</v>
      </c>
      <c r="C535" t="s">
        <v>89</v>
      </c>
      <c r="D535" s="2">
        <v>38115744.68</v>
      </c>
      <c r="E535" s="2">
        <v>145972875.66</v>
      </c>
      <c r="F535" s="2">
        <v>146659146.91999999</v>
      </c>
      <c r="G535" s="2">
        <v>23611223.579999998</v>
      </c>
    </row>
    <row r="536" spans="1:7" x14ac:dyDescent="0.25">
      <c r="A536" s="1">
        <v>44986</v>
      </c>
      <c r="B536" t="s">
        <v>37</v>
      </c>
      <c r="C536" t="s">
        <v>90</v>
      </c>
      <c r="D536" s="2">
        <v>7229745.7400000002</v>
      </c>
      <c r="E536" s="2">
        <v>64936213.140000001</v>
      </c>
      <c r="F536" s="2">
        <v>70958311.090000004</v>
      </c>
      <c r="G536" s="2">
        <v>7941946.2400000002</v>
      </c>
    </row>
    <row r="537" spans="1:7" x14ac:dyDescent="0.25">
      <c r="A537" s="1">
        <v>44986</v>
      </c>
      <c r="B537" t="s">
        <v>37</v>
      </c>
      <c r="C537" t="s">
        <v>91</v>
      </c>
      <c r="D537" s="2">
        <v>11259844.529999999</v>
      </c>
      <c r="E537" s="2">
        <v>75473787.870000005</v>
      </c>
      <c r="F537" s="2">
        <v>83958282.950000003</v>
      </c>
      <c r="G537" s="2">
        <v>2162652.7599999998</v>
      </c>
    </row>
    <row r="538" spans="1:7" x14ac:dyDescent="0.25">
      <c r="A538" s="1">
        <v>44986</v>
      </c>
      <c r="B538" t="s">
        <v>37</v>
      </c>
      <c r="C538" t="s">
        <v>92</v>
      </c>
      <c r="D538" s="2">
        <v>2373985.84</v>
      </c>
      <c r="E538" s="2">
        <v>22175182.02</v>
      </c>
      <c r="F538" s="2">
        <v>21069680.57</v>
      </c>
      <c r="G538" s="2">
        <v>4056919.68</v>
      </c>
    </row>
    <row r="539" spans="1:7" x14ac:dyDescent="0.25">
      <c r="A539" s="1">
        <v>44986</v>
      </c>
      <c r="B539" t="s">
        <v>37</v>
      </c>
      <c r="C539" t="s">
        <v>93</v>
      </c>
      <c r="D539" s="2">
        <v>6299992.2199999997</v>
      </c>
      <c r="E539" s="2">
        <v>13806283.26</v>
      </c>
      <c r="F539" s="2">
        <v>13190439.130000001</v>
      </c>
      <c r="G539" s="2">
        <v>5350038.18</v>
      </c>
    </row>
    <row r="540" spans="1:7" x14ac:dyDescent="0.25">
      <c r="A540" s="1">
        <v>44986</v>
      </c>
      <c r="B540" t="s">
        <v>37</v>
      </c>
      <c r="C540" t="s">
        <v>94</v>
      </c>
      <c r="D540" s="2">
        <v>7560112.6900000004</v>
      </c>
      <c r="E540" s="2">
        <v>66926560.619999997</v>
      </c>
      <c r="F540" s="2">
        <v>71302831.549999997</v>
      </c>
      <c r="G540" s="2">
        <v>1997102.21</v>
      </c>
    </row>
    <row r="541" spans="1:7" x14ac:dyDescent="0.25">
      <c r="A541" s="1">
        <v>44986</v>
      </c>
      <c r="B541" t="s">
        <v>37</v>
      </c>
      <c r="C541" t="s">
        <v>95</v>
      </c>
      <c r="D541" s="2">
        <v>26962561.690000001</v>
      </c>
      <c r="E541" s="2">
        <v>22810733.82</v>
      </c>
      <c r="F541" s="2">
        <v>22702389.66</v>
      </c>
      <c r="G541" s="2">
        <v>3987867.87</v>
      </c>
    </row>
    <row r="542" spans="1:7" x14ac:dyDescent="0.25">
      <c r="A542" s="1">
        <v>44986</v>
      </c>
      <c r="B542" t="s">
        <v>37</v>
      </c>
      <c r="C542" t="s">
        <v>96</v>
      </c>
      <c r="D542" s="2">
        <v>29969918.920000002</v>
      </c>
      <c r="E542" s="2">
        <v>66708460.810000002</v>
      </c>
      <c r="F542" s="2">
        <v>67752245.719999999</v>
      </c>
      <c r="G542" s="2">
        <v>5544085.5899999999</v>
      </c>
    </row>
    <row r="543" spans="1:7" x14ac:dyDescent="0.25">
      <c r="A543" s="1">
        <v>44986</v>
      </c>
      <c r="B543" t="s">
        <v>37</v>
      </c>
      <c r="C543" t="s">
        <v>97</v>
      </c>
      <c r="D543" s="2">
        <v>60342396.090000004</v>
      </c>
      <c r="E543" s="2">
        <v>60456811.640000001</v>
      </c>
      <c r="F543" s="2">
        <v>54632181.25</v>
      </c>
      <c r="G543" s="2">
        <v>2923387.79</v>
      </c>
    </row>
    <row r="544" spans="1:7" x14ac:dyDescent="0.25">
      <c r="A544" s="1">
        <v>44986</v>
      </c>
      <c r="B544" t="s">
        <v>37</v>
      </c>
      <c r="C544" t="s">
        <v>98</v>
      </c>
      <c r="D544" s="2">
        <v>7220454.1600000001</v>
      </c>
      <c r="E544" s="2">
        <v>29126284.780000001</v>
      </c>
      <c r="F544" s="2">
        <v>29321211.16</v>
      </c>
      <c r="G544" s="2">
        <v>2368012.48</v>
      </c>
    </row>
    <row r="545" spans="1:7" x14ac:dyDescent="0.25">
      <c r="A545" s="1">
        <v>44986</v>
      </c>
      <c r="B545" t="s">
        <v>37</v>
      </c>
      <c r="C545" t="s">
        <v>99</v>
      </c>
      <c r="D545" s="2">
        <v>27753717.140000001</v>
      </c>
      <c r="E545" s="2">
        <v>111650192.98</v>
      </c>
      <c r="F545" s="2">
        <v>116763546.18000001</v>
      </c>
      <c r="G545" s="2">
        <v>4628270.79</v>
      </c>
    </row>
    <row r="546" spans="1:7" x14ac:dyDescent="0.25">
      <c r="A546" s="1">
        <v>44986</v>
      </c>
      <c r="B546" t="s">
        <v>37</v>
      </c>
      <c r="C546" t="s">
        <v>100</v>
      </c>
      <c r="D546" s="2">
        <v>28462976.870000001</v>
      </c>
      <c r="E546" s="2">
        <v>23566993.91</v>
      </c>
      <c r="F546" s="2">
        <v>22934820.350000001</v>
      </c>
      <c r="G546" s="2">
        <v>17478834.350000001</v>
      </c>
    </row>
    <row r="547" spans="1:7" x14ac:dyDescent="0.25">
      <c r="A547" s="1">
        <v>44986</v>
      </c>
      <c r="B547" t="s">
        <v>37</v>
      </c>
      <c r="C547" t="s">
        <v>101</v>
      </c>
      <c r="D547" s="2">
        <v>2089226.04</v>
      </c>
      <c r="E547" s="2">
        <v>30336891.43</v>
      </c>
      <c r="F547" s="2">
        <v>32192436.25</v>
      </c>
      <c r="G547" s="2">
        <v>4134725.52</v>
      </c>
    </row>
    <row r="548" spans="1:7" x14ac:dyDescent="0.25">
      <c r="A548" s="1">
        <v>44986</v>
      </c>
      <c r="B548" t="s">
        <v>37</v>
      </c>
      <c r="C548" t="s">
        <v>102</v>
      </c>
      <c r="D548" s="2">
        <v>-2724245.71</v>
      </c>
      <c r="E548" s="2">
        <v>17594278.710000001</v>
      </c>
      <c r="F548" s="2">
        <v>17210772.489999998</v>
      </c>
      <c r="G548" s="2">
        <v>6289623.2800000003</v>
      </c>
    </row>
    <row r="549" spans="1:7" x14ac:dyDescent="0.25">
      <c r="A549" s="1">
        <v>44986</v>
      </c>
      <c r="B549" t="s">
        <v>37</v>
      </c>
      <c r="C549" t="s">
        <v>103</v>
      </c>
      <c r="D549" s="2">
        <v>9256529.8499999996</v>
      </c>
      <c r="E549" s="2">
        <v>70415205.879999995</v>
      </c>
      <c r="F549" s="2">
        <v>73727870.969999999</v>
      </c>
      <c r="G549" s="2">
        <v>6102727.8399999999</v>
      </c>
    </row>
    <row r="550" spans="1:7" x14ac:dyDescent="0.25">
      <c r="A550" s="1">
        <v>44986</v>
      </c>
      <c r="B550" t="s">
        <v>37</v>
      </c>
      <c r="C550" t="s">
        <v>104</v>
      </c>
      <c r="D550" s="2">
        <v>20037816</v>
      </c>
      <c r="E550" s="2">
        <v>77590446.049999997</v>
      </c>
      <c r="F550" s="2">
        <v>82006253.049999997</v>
      </c>
      <c r="G550" s="2">
        <v>7146298.4800000004</v>
      </c>
    </row>
    <row r="551" spans="1:7" x14ac:dyDescent="0.25">
      <c r="A551" s="1">
        <v>44986</v>
      </c>
      <c r="B551" t="s">
        <v>37</v>
      </c>
      <c r="C551" t="s">
        <v>105</v>
      </c>
      <c r="D551" s="2">
        <v>4747259.51</v>
      </c>
      <c r="E551" s="2">
        <v>27815416.34</v>
      </c>
      <c r="F551" s="2">
        <v>27689702.949999999</v>
      </c>
      <c r="G551" s="2">
        <v>4056525.25</v>
      </c>
    </row>
    <row r="552" spans="1:7" x14ac:dyDescent="0.25">
      <c r="A552" s="1">
        <v>44986</v>
      </c>
      <c r="B552" t="s">
        <v>37</v>
      </c>
      <c r="C552" t="s">
        <v>106</v>
      </c>
      <c r="D552" s="2">
        <v>52392605.07</v>
      </c>
      <c r="E552" s="2">
        <v>62772437.130000003</v>
      </c>
      <c r="F552" s="2">
        <v>65519985.689999998</v>
      </c>
      <c r="G552" s="2">
        <v>11409393.43</v>
      </c>
    </row>
    <row r="553" spans="1:7" x14ac:dyDescent="0.25">
      <c r="A553" s="1">
        <v>44986</v>
      </c>
      <c r="B553" t="s">
        <v>37</v>
      </c>
      <c r="C553" t="s">
        <v>107</v>
      </c>
      <c r="D553" s="2">
        <v>5354280</v>
      </c>
      <c r="E553" s="2">
        <v>28805701.760000002</v>
      </c>
      <c r="F553" s="2">
        <v>28168096.300000001</v>
      </c>
      <c r="G553" s="2">
        <v>11015588.939999999</v>
      </c>
    </row>
    <row r="554" spans="1:7" x14ac:dyDescent="0.25">
      <c r="A554" s="1">
        <v>44986</v>
      </c>
      <c r="B554" t="s">
        <v>37</v>
      </c>
      <c r="C554" t="s">
        <v>108</v>
      </c>
      <c r="D554" s="2">
        <v>17659012.710000001</v>
      </c>
      <c r="E554" s="2">
        <v>23721117.050000001</v>
      </c>
      <c r="F554" s="2">
        <v>18309432.579999998</v>
      </c>
      <c r="G554" s="2">
        <v>3651286.59</v>
      </c>
    </row>
    <row r="555" spans="1:7" x14ac:dyDescent="0.25">
      <c r="A555" s="1">
        <v>44986</v>
      </c>
      <c r="B555" t="s">
        <v>50</v>
      </c>
      <c r="C555" t="s">
        <v>111</v>
      </c>
      <c r="D555">
        <v>0</v>
      </c>
      <c r="E555" s="2">
        <v>257805764.52000001</v>
      </c>
      <c r="F555" s="2">
        <v>257805764.52000001</v>
      </c>
      <c r="G555" s="2">
        <v>-195346995.74000001</v>
      </c>
    </row>
    <row r="556" spans="1:7" x14ac:dyDescent="0.25">
      <c r="A556" s="1">
        <v>44986</v>
      </c>
      <c r="B556" t="s">
        <v>45</v>
      </c>
      <c r="C556" t="s">
        <v>112</v>
      </c>
      <c r="D556" s="2">
        <v>1634706744.23</v>
      </c>
      <c r="E556" s="2">
        <v>1698625978.3499999</v>
      </c>
      <c r="F556" s="2">
        <v>1699048593.79</v>
      </c>
      <c r="G556" s="2">
        <v>37531129.780000001</v>
      </c>
    </row>
    <row r="557" spans="1:7" x14ac:dyDescent="0.25">
      <c r="A557" s="1">
        <v>44986</v>
      </c>
      <c r="B557" t="s">
        <v>11</v>
      </c>
      <c r="C557" t="s">
        <v>113</v>
      </c>
      <c r="D557" s="2">
        <v>5735160.7300000004</v>
      </c>
      <c r="E557" s="2">
        <v>5716510.54</v>
      </c>
      <c r="F557" s="2">
        <v>5716401.4500000002</v>
      </c>
      <c r="G557">
        <v>0</v>
      </c>
    </row>
    <row r="558" spans="1:7" x14ac:dyDescent="0.25">
      <c r="A558" s="1">
        <v>44986</v>
      </c>
      <c r="B558" t="s">
        <v>80</v>
      </c>
      <c r="C558" t="s">
        <v>114</v>
      </c>
      <c r="D558" s="2">
        <v>9586557949.7800007</v>
      </c>
      <c r="E558" s="2">
        <v>9586522949.7800007</v>
      </c>
      <c r="F558" s="2">
        <v>9586522949.7800007</v>
      </c>
      <c r="G558" s="2">
        <v>22232836.600000001</v>
      </c>
    </row>
    <row r="559" spans="1:7" x14ac:dyDescent="0.25">
      <c r="A559" s="1">
        <v>44986</v>
      </c>
      <c r="B559" t="s">
        <v>45</v>
      </c>
      <c r="C559" t="s">
        <v>115</v>
      </c>
      <c r="D559" s="2">
        <v>30594643.25</v>
      </c>
      <c r="E559" s="2">
        <v>30594643.25</v>
      </c>
      <c r="F559" s="2">
        <v>30594643.25</v>
      </c>
      <c r="G559">
        <v>0</v>
      </c>
    </row>
    <row r="560" spans="1:7" x14ac:dyDescent="0.25">
      <c r="A560" s="1">
        <v>44986</v>
      </c>
      <c r="B560" t="s">
        <v>63</v>
      </c>
      <c r="C560" t="s">
        <v>116</v>
      </c>
      <c r="D560" s="2">
        <v>70000</v>
      </c>
      <c r="E560" s="2">
        <v>35919.339999999997</v>
      </c>
      <c r="F560" s="2">
        <v>35919.339999999997</v>
      </c>
      <c r="G560" s="2">
        <v>53127619</v>
      </c>
    </row>
    <row r="561" spans="1:7" x14ac:dyDescent="0.25">
      <c r="A561" s="1">
        <v>44986</v>
      </c>
      <c r="B561" t="s">
        <v>31</v>
      </c>
      <c r="C561" t="s">
        <v>117</v>
      </c>
      <c r="D561">
        <v>0</v>
      </c>
      <c r="E561">
        <v>0</v>
      </c>
      <c r="F561">
        <v>0</v>
      </c>
      <c r="G561" s="2">
        <v>79448.05</v>
      </c>
    </row>
    <row r="562" spans="1:7" x14ac:dyDescent="0.25">
      <c r="A562" s="1">
        <v>44986</v>
      </c>
      <c r="B562" t="s">
        <v>50</v>
      </c>
      <c r="C562" t="s">
        <v>118</v>
      </c>
      <c r="D562">
        <v>0</v>
      </c>
      <c r="E562">
        <v>0</v>
      </c>
      <c r="F562">
        <v>0</v>
      </c>
      <c r="G562" s="2">
        <v>61448392.119999997</v>
      </c>
    </row>
    <row r="563" spans="1:7" x14ac:dyDescent="0.25">
      <c r="A563" s="1">
        <v>44986</v>
      </c>
      <c r="B563" t="s">
        <v>50</v>
      </c>
      <c r="C563" t="s">
        <v>119</v>
      </c>
      <c r="D563" s="2">
        <v>164682172.91999999</v>
      </c>
      <c r="E563">
        <v>0</v>
      </c>
      <c r="F563">
        <v>0</v>
      </c>
      <c r="G563" s="2">
        <v>239267701.81</v>
      </c>
    </row>
    <row r="564" spans="1:7" x14ac:dyDescent="0.25">
      <c r="A564" s="1">
        <v>44986</v>
      </c>
      <c r="B564" t="s">
        <v>45</v>
      </c>
      <c r="C564" t="s">
        <v>120</v>
      </c>
      <c r="D564" s="2">
        <v>430914.84</v>
      </c>
      <c r="E564" s="2">
        <v>430914.84</v>
      </c>
      <c r="F564" s="2">
        <v>430918.44</v>
      </c>
      <c r="G564">
        <v>0</v>
      </c>
    </row>
    <row r="565" spans="1:7" x14ac:dyDescent="0.25">
      <c r="A565" s="1">
        <v>44986</v>
      </c>
      <c r="B565" t="s">
        <v>45</v>
      </c>
      <c r="C565" t="s">
        <v>121</v>
      </c>
      <c r="D565" s="2">
        <v>42928928.810000002</v>
      </c>
      <c r="E565" s="2">
        <v>42971311.539999999</v>
      </c>
      <c r="F565" s="2">
        <v>42971311.539999999</v>
      </c>
      <c r="G565" s="2">
        <v>42786541.630000003</v>
      </c>
    </row>
    <row r="566" spans="1:7" x14ac:dyDescent="0.25">
      <c r="A566" s="1">
        <v>44986</v>
      </c>
      <c r="B566" t="s">
        <v>61</v>
      </c>
      <c r="C566" t="s">
        <v>122</v>
      </c>
      <c r="D566" s="2">
        <v>3066755.2</v>
      </c>
      <c r="E566" s="2">
        <v>5389850.0199999996</v>
      </c>
      <c r="F566" s="2">
        <v>5248422.74</v>
      </c>
      <c r="G566" s="2">
        <v>453295.97</v>
      </c>
    </row>
    <row r="567" spans="1:7" x14ac:dyDescent="0.25">
      <c r="A567" s="1">
        <v>44986</v>
      </c>
      <c r="B567" t="s">
        <v>29</v>
      </c>
      <c r="C567" t="s">
        <v>124</v>
      </c>
      <c r="D567" s="2">
        <v>227058728.58000001</v>
      </c>
      <c r="E567" s="2">
        <v>183875233.15000001</v>
      </c>
      <c r="F567" s="2">
        <v>187534531.11000001</v>
      </c>
      <c r="G567" s="2">
        <v>158826342.49000001</v>
      </c>
    </row>
    <row r="568" spans="1:7" x14ac:dyDescent="0.25">
      <c r="A568" s="1">
        <v>44986</v>
      </c>
      <c r="B568" t="s">
        <v>125</v>
      </c>
      <c r="C568" t="s">
        <v>126</v>
      </c>
      <c r="D568" s="2">
        <v>2365015.87</v>
      </c>
      <c r="E568" s="2">
        <v>64848066188.449997</v>
      </c>
      <c r="F568" s="2">
        <v>64606071509.459999</v>
      </c>
      <c r="G568" s="2">
        <v>51833.17</v>
      </c>
    </row>
    <row r="569" spans="1:7" x14ac:dyDescent="0.25">
      <c r="A569" s="1">
        <v>44986</v>
      </c>
      <c r="B569" t="s">
        <v>127</v>
      </c>
      <c r="C569" t="s">
        <v>128</v>
      </c>
      <c r="D569">
        <v>0</v>
      </c>
      <c r="E569">
        <v>0</v>
      </c>
      <c r="F569">
        <v>0</v>
      </c>
      <c r="G569" s="2">
        <v>90118187.709999993</v>
      </c>
    </row>
    <row r="570" spans="1:7" x14ac:dyDescent="0.25">
      <c r="A570" s="1">
        <v>44986</v>
      </c>
      <c r="B570" t="s">
        <v>31</v>
      </c>
      <c r="C570" t="s">
        <v>129</v>
      </c>
      <c r="D570">
        <v>0</v>
      </c>
      <c r="E570" s="2">
        <v>65131.97</v>
      </c>
      <c r="F570" s="2">
        <v>65131.97</v>
      </c>
      <c r="G570" s="2">
        <v>2151599.3199999998</v>
      </c>
    </row>
    <row r="571" spans="1:7" x14ac:dyDescent="0.25">
      <c r="A571" s="1">
        <v>44986</v>
      </c>
      <c r="B571" t="s">
        <v>130</v>
      </c>
      <c r="C571" t="s">
        <v>131</v>
      </c>
      <c r="D571" s="2">
        <v>406170744.74000001</v>
      </c>
      <c r="E571" s="2">
        <v>403809504.47000003</v>
      </c>
      <c r="F571" s="2">
        <v>402782140.77999997</v>
      </c>
      <c r="G571" s="2">
        <v>84192299.689999998</v>
      </c>
    </row>
    <row r="572" spans="1:7" x14ac:dyDescent="0.25">
      <c r="A572" s="1">
        <v>44986</v>
      </c>
      <c r="B572" t="s">
        <v>11</v>
      </c>
      <c r="C572" t="s">
        <v>132</v>
      </c>
      <c r="D572" s="2">
        <v>23599541.149999999</v>
      </c>
      <c r="E572" s="2">
        <v>738945.04</v>
      </c>
      <c r="F572" s="2">
        <v>301092.73</v>
      </c>
      <c r="G572" s="2">
        <v>130104.79</v>
      </c>
    </row>
    <row r="573" spans="1:7" x14ac:dyDescent="0.25">
      <c r="A573" s="1">
        <v>44986</v>
      </c>
      <c r="B573" t="s">
        <v>75</v>
      </c>
      <c r="C573" t="s">
        <v>134</v>
      </c>
      <c r="D573">
        <v>0</v>
      </c>
      <c r="E573">
        <v>0</v>
      </c>
      <c r="F573">
        <v>0</v>
      </c>
      <c r="G573" s="2">
        <v>17514.12</v>
      </c>
    </row>
    <row r="574" spans="1:7" x14ac:dyDescent="0.25">
      <c r="A574" s="1">
        <v>44986</v>
      </c>
      <c r="B574" t="s">
        <v>9</v>
      </c>
      <c r="C574" t="s">
        <v>135</v>
      </c>
      <c r="D574" s="2">
        <v>418293297.74000001</v>
      </c>
      <c r="E574" s="2">
        <v>84960642.689999998</v>
      </c>
      <c r="F574" s="2">
        <v>80248906.700000003</v>
      </c>
      <c r="G574">
        <v>0</v>
      </c>
    </row>
    <row r="575" spans="1:7" x14ac:dyDescent="0.25">
      <c r="A575" s="1">
        <v>44986</v>
      </c>
      <c r="B575" t="s">
        <v>37</v>
      </c>
      <c r="C575" t="s">
        <v>136</v>
      </c>
      <c r="D575" s="2">
        <v>670766279.24000001</v>
      </c>
      <c r="E575" s="2">
        <v>4715225690.2600002</v>
      </c>
      <c r="F575" s="2">
        <v>4712365629.8299999</v>
      </c>
      <c r="G575" s="2">
        <v>284529700.18000001</v>
      </c>
    </row>
    <row r="576" spans="1:7" x14ac:dyDescent="0.25">
      <c r="A576" s="1">
        <v>44986</v>
      </c>
      <c r="B576" t="s">
        <v>31</v>
      </c>
      <c r="C576" t="s">
        <v>138</v>
      </c>
      <c r="D576" s="2">
        <v>98218779.760000005</v>
      </c>
      <c r="E576" s="2">
        <v>32567353.539999999</v>
      </c>
      <c r="F576" s="2">
        <v>33097134.77</v>
      </c>
      <c r="G576" s="2">
        <v>29241999.390000001</v>
      </c>
    </row>
    <row r="577" spans="1:7" x14ac:dyDescent="0.25">
      <c r="A577" s="1">
        <v>44986</v>
      </c>
      <c r="B577" t="s">
        <v>31</v>
      </c>
      <c r="C577" t="s">
        <v>143</v>
      </c>
      <c r="D577" s="2">
        <v>2722980.99</v>
      </c>
      <c r="E577" s="2">
        <v>8368148.54</v>
      </c>
      <c r="F577" s="2">
        <v>8192184.6399999997</v>
      </c>
      <c r="G577" s="2">
        <v>2912041.98</v>
      </c>
    </row>
    <row r="578" spans="1:7" x14ac:dyDescent="0.25">
      <c r="A578" s="1">
        <v>44986</v>
      </c>
      <c r="B578" t="s">
        <v>61</v>
      </c>
      <c r="C578" t="s">
        <v>144</v>
      </c>
      <c r="D578" s="2">
        <v>2047059.13</v>
      </c>
      <c r="E578" s="2">
        <v>587785.93999999994</v>
      </c>
      <c r="F578" s="2">
        <v>697338.13</v>
      </c>
      <c r="G578">
        <v>0</v>
      </c>
    </row>
    <row r="579" spans="1:7" x14ac:dyDescent="0.25">
      <c r="A579" s="1">
        <v>44986</v>
      </c>
      <c r="B579" t="s">
        <v>37</v>
      </c>
      <c r="C579" t="s">
        <v>145</v>
      </c>
      <c r="D579" s="2">
        <v>150243793.05000001</v>
      </c>
      <c r="E579" s="2">
        <v>144815932.69999999</v>
      </c>
      <c r="F579" s="2">
        <v>140130712.09</v>
      </c>
      <c r="G579" s="2">
        <v>7163332.9299999997</v>
      </c>
    </row>
    <row r="580" spans="1:7" x14ac:dyDescent="0.25">
      <c r="A580" s="1">
        <v>44986</v>
      </c>
      <c r="B580" t="s">
        <v>16</v>
      </c>
      <c r="C580" t="s">
        <v>146</v>
      </c>
      <c r="D580" s="2">
        <v>130985240.89</v>
      </c>
      <c r="E580" s="2">
        <v>137472754.58000001</v>
      </c>
      <c r="F580" s="2">
        <v>137128548.66999999</v>
      </c>
      <c r="G580" s="2">
        <v>6268867.5300000003</v>
      </c>
    </row>
    <row r="581" spans="1:7" x14ac:dyDescent="0.25">
      <c r="A581" s="1">
        <v>44986</v>
      </c>
      <c r="B581" t="s">
        <v>29</v>
      </c>
      <c r="C581" t="s">
        <v>147</v>
      </c>
      <c r="D581" s="2">
        <v>8189922.04</v>
      </c>
      <c r="E581" s="2">
        <v>14388077.800000001</v>
      </c>
      <c r="F581" s="2">
        <v>14234686.869999999</v>
      </c>
      <c r="G581" s="2">
        <v>7746846.21</v>
      </c>
    </row>
    <row r="582" spans="1:7" x14ac:dyDescent="0.25">
      <c r="A582" s="1">
        <v>44986</v>
      </c>
      <c r="B582" t="s">
        <v>24</v>
      </c>
      <c r="C582" t="s">
        <v>148</v>
      </c>
      <c r="D582" s="2">
        <v>6113244.3799999999</v>
      </c>
      <c r="E582" s="2">
        <v>12504759.83</v>
      </c>
      <c r="F582" s="2">
        <v>13578720.880000001</v>
      </c>
      <c r="G582" s="2">
        <v>5592493.2199999997</v>
      </c>
    </row>
    <row r="583" spans="1:7" x14ac:dyDescent="0.25">
      <c r="A583" s="1">
        <v>44986</v>
      </c>
      <c r="B583" t="s">
        <v>22</v>
      </c>
      <c r="C583" t="s">
        <v>149</v>
      </c>
      <c r="D583" s="2">
        <v>47759198.329999998</v>
      </c>
      <c r="E583" s="2">
        <v>111249752.66</v>
      </c>
      <c r="F583" s="2">
        <v>110183136.3</v>
      </c>
      <c r="G583" s="2">
        <v>6190009.3600000003</v>
      </c>
    </row>
    <row r="584" spans="1:7" x14ac:dyDescent="0.25">
      <c r="A584" s="1">
        <v>44986</v>
      </c>
      <c r="B584" t="s">
        <v>22</v>
      </c>
      <c r="C584" t="s">
        <v>150</v>
      </c>
      <c r="D584" s="2">
        <v>87871655.519999996</v>
      </c>
      <c r="E584" s="2">
        <v>55950928.670000002</v>
      </c>
      <c r="F584" s="2">
        <v>57236345.149999999</v>
      </c>
      <c r="G584" s="2">
        <v>3449817.49</v>
      </c>
    </row>
    <row r="585" spans="1:7" x14ac:dyDescent="0.25">
      <c r="A585" s="1">
        <v>44986</v>
      </c>
      <c r="B585" t="s">
        <v>77</v>
      </c>
      <c r="C585" t="s">
        <v>151</v>
      </c>
      <c r="D585" s="2">
        <v>-15439597.49</v>
      </c>
      <c r="E585" s="2">
        <v>29163531.960000001</v>
      </c>
      <c r="F585" s="2">
        <v>28988446.25</v>
      </c>
      <c r="G585" s="2">
        <v>754736.5</v>
      </c>
    </row>
    <row r="586" spans="1:7" x14ac:dyDescent="0.25">
      <c r="A586" s="1">
        <v>44986</v>
      </c>
      <c r="B586" t="s">
        <v>22</v>
      </c>
      <c r="C586" t="s">
        <v>152</v>
      </c>
      <c r="D586" s="2">
        <v>2361104.88</v>
      </c>
      <c r="E586" s="2">
        <v>6407311.9900000002</v>
      </c>
      <c r="F586" s="2">
        <v>6443819.6299999999</v>
      </c>
      <c r="G586" s="2">
        <v>274928.38</v>
      </c>
    </row>
    <row r="587" spans="1:7" x14ac:dyDescent="0.25">
      <c r="A587" s="1">
        <v>44986</v>
      </c>
      <c r="B587" t="s">
        <v>24</v>
      </c>
      <c r="C587" t="s">
        <v>153</v>
      </c>
      <c r="D587" s="2">
        <v>1474892.41</v>
      </c>
      <c r="E587" s="2">
        <v>20350039.050000001</v>
      </c>
      <c r="F587" s="2">
        <v>22687032.960000001</v>
      </c>
      <c r="G587" s="2">
        <v>18269568.800000001</v>
      </c>
    </row>
    <row r="588" spans="1:7" x14ac:dyDescent="0.25">
      <c r="A588" s="1">
        <v>44986</v>
      </c>
      <c r="B588" t="s">
        <v>37</v>
      </c>
      <c r="C588" t="s">
        <v>154</v>
      </c>
      <c r="D588" s="2">
        <v>6363968.2599999998</v>
      </c>
      <c r="E588" s="2">
        <v>26710810.079999998</v>
      </c>
      <c r="F588" s="2">
        <v>27693989.280000001</v>
      </c>
      <c r="G588" s="2">
        <v>5592208.8300000001</v>
      </c>
    </row>
    <row r="589" spans="1:7" x14ac:dyDescent="0.25">
      <c r="A589" s="1">
        <v>44986</v>
      </c>
      <c r="B589" t="s">
        <v>37</v>
      </c>
      <c r="C589" t="s">
        <v>155</v>
      </c>
      <c r="D589" s="2">
        <v>5767566.9400000004</v>
      </c>
      <c r="E589" s="2">
        <v>30087322.629999999</v>
      </c>
      <c r="F589" s="2">
        <v>31009543.57</v>
      </c>
      <c r="G589" s="2">
        <v>4347327.45</v>
      </c>
    </row>
    <row r="590" spans="1:7" x14ac:dyDescent="0.25">
      <c r="A590" s="1">
        <v>44986</v>
      </c>
      <c r="B590" t="s">
        <v>37</v>
      </c>
      <c r="C590" t="s">
        <v>156</v>
      </c>
      <c r="D590" s="2">
        <v>-15038339.039999999</v>
      </c>
      <c r="E590" s="2">
        <v>50783862.789999999</v>
      </c>
      <c r="F590" s="2">
        <v>52681686.280000001</v>
      </c>
      <c r="G590" s="2">
        <v>5865901.5300000003</v>
      </c>
    </row>
    <row r="591" spans="1:7" x14ac:dyDescent="0.25">
      <c r="A591" s="1">
        <v>44986</v>
      </c>
      <c r="B591" t="s">
        <v>37</v>
      </c>
      <c r="C591" t="s">
        <v>157</v>
      </c>
      <c r="D591" s="2">
        <v>9930362.5999999996</v>
      </c>
      <c r="E591" s="2">
        <v>45905334.460000001</v>
      </c>
      <c r="F591" s="2">
        <v>46124745.090000004</v>
      </c>
      <c r="G591" s="2">
        <v>7276934.9800000004</v>
      </c>
    </row>
    <row r="592" spans="1:7" x14ac:dyDescent="0.25">
      <c r="A592" s="1">
        <v>44986</v>
      </c>
      <c r="B592" t="s">
        <v>37</v>
      </c>
      <c r="C592" t="s">
        <v>158</v>
      </c>
      <c r="D592" s="2">
        <v>4710123.82</v>
      </c>
      <c r="E592" s="2">
        <v>30092386.23</v>
      </c>
      <c r="F592" s="2">
        <v>31000242.77</v>
      </c>
      <c r="G592" s="2">
        <v>4947502.5199999996</v>
      </c>
    </row>
    <row r="593" spans="1:7" x14ac:dyDescent="0.25">
      <c r="A593" s="1">
        <v>44986</v>
      </c>
      <c r="B593" t="s">
        <v>37</v>
      </c>
      <c r="C593" t="s">
        <v>159</v>
      </c>
      <c r="D593" s="2">
        <v>21847962.170000002</v>
      </c>
      <c r="E593" s="2">
        <v>19390378.989999998</v>
      </c>
      <c r="F593" s="2">
        <v>21108301.609999999</v>
      </c>
      <c r="G593" s="2">
        <v>3938446.8</v>
      </c>
    </row>
    <row r="594" spans="1:7" x14ac:dyDescent="0.25">
      <c r="A594" s="1">
        <v>44986</v>
      </c>
      <c r="B594" t="s">
        <v>37</v>
      </c>
      <c r="C594" t="s">
        <v>160</v>
      </c>
      <c r="D594" s="2">
        <v>4831076.22</v>
      </c>
      <c r="E594" s="2">
        <v>38767960.060000002</v>
      </c>
      <c r="F594" s="2">
        <v>40660006.649999999</v>
      </c>
      <c r="G594" s="2">
        <v>7102173.3300000001</v>
      </c>
    </row>
    <row r="595" spans="1:7" x14ac:dyDescent="0.25">
      <c r="A595" s="1">
        <v>44986</v>
      </c>
      <c r="B595" t="s">
        <v>37</v>
      </c>
      <c r="C595" t="s">
        <v>161</v>
      </c>
      <c r="D595" s="2">
        <v>-6553277.6299999999</v>
      </c>
      <c r="E595" s="2">
        <v>34619691.270000003</v>
      </c>
      <c r="F595" s="2">
        <v>35571485.329999998</v>
      </c>
      <c r="G595" s="2">
        <v>5399225.96</v>
      </c>
    </row>
    <row r="596" spans="1:7" x14ac:dyDescent="0.25">
      <c r="A596" s="1">
        <v>44986</v>
      </c>
      <c r="B596" t="s">
        <v>37</v>
      </c>
      <c r="C596" t="s">
        <v>162</v>
      </c>
      <c r="D596" s="2">
        <v>7694330.5700000003</v>
      </c>
      <c r="E596" s="2">
        <v>46258000.979999997</v>
      </c>
      <c r="F596" s="2">
        <v>48544982.009999998</v>
      </c>
      <c r="G596" s="2">
        <v>4079236.75</v>
      </c>
    </row>
    <row r="597" spans="1:7" x14ac:dyDescent="0.25">
      <c r="A597" s="1">
        <v>44986</v>
      </c>
      <c r="B597" t="s">
        <v>37</v>
      </c>
      <c r="C597" t="s">
        <v>163</v>
      </c>
      <c r="D597" s="2">
        <v>3366247.65</v>
      </c>
      <c r="E597" s="2">
        <v>18309432.43</v>
      </c>
      <c r="F597" s="2">
        <v>19425870.760000002</v>
      </c>
      <c r="G597" s="2">
        <v>5834760.5300000003</v>
      </c>
    </row>
    <row r="598" spans="1:7" x14ac:dyDescent="0.25">
      <c r="A598" s="1">
        <v>44986</v>
      </c>
      <c r="B598" t="s">
        <v>37</v>
      </c>
      <c r="C598" t="s">
        <v>164</v>
      </c>
      <c r="D598" s="2">
        <v>18413035.829999998</v>
      </c>
      <c r="E598" s="2">
        <v>11008802.15</v>
      </c>
      <c r="F598" s="2">
        <v>11478633.539999999</v>
      </c>
      <c r="G598" s="2">
        <v>2221795.71</v>
      </c>
    </row>
    <row r="599" spans="1:7" x14ac:dyDescent="0.25">
      <c r="A599" s="1">
        <v>44986</v>
      </c>
      <c r="B599" t="s">
        <v>37</v>
      </c>
      <c r="C599" t="s">
        <v>165</v>
      </c>
      <c r="D599" s="2">
        <v>7193970.1500000004</v>
      </c>
      <c r="E599" s="2">
        <v>47877247.049999997</v>
      </c>
      <c r="F599" s="2">
        <v>47398610.640000001</v>
      </c>
      <c r="G599" s="2">
        <v>6648500.75</v>
      </c>
    </row>
    <row r="600" spans="1:7" x14ac:dyDescent="0.25">
      <c r="A600" s="1">
        <v>44986</v>
      </c>
      <c r="B600" t="s">
        <v>37</v>
      </c>
      <c r="C600" t="s">
        <v>166</v>
      </c>
      <c r="D600" s="2">
        <v>189101404.02000001</v>
      </c>
      <c r="E600" s="2">
        <v>22583786.800000001</v>
      </c>
      <c r="F600" s="2">
        <v>24110037.120000001</v>
      </c>
      <c r="G600" s="2">
        <v>1578537.96</v>
      </c>
    </row>
    <row r="601" spans="1:7" x14ac:dyDescent="0.25">
      <c r="A601" s="1">
        <v>44986</v>
      </c>
      <c r="B601" t="s">
        <v>37</v>
      </c>
      <c r="C601" t="s">
        <v>167</v>
      </c>
      <c r="D601" s="2">
        <v>11942637.619999999</v>
      </c>
      <c r="E601" s="2">
        <v>78168295.599999994</v>
      </c>
      <c r="F601" s="2">
        <v>78969678.319999993</v>
      </c>
      <c r="G601" s="2">
        <v>10290778.470000001</v>
      </c>
    </row>
    <row r="602" spans="1:7" x14ac:dyDescent="0.25">
      <c r="A602" s="1">
        <v>44986</v>
      </c>
      <c r="B602" t="s">
        <v>37</v>
      </c>
      <c r="C602" t="s">
        <v>168</v>
      </c>
      <c r="D602" s="2">
        <v>68780757.760000005</v>
      </c>
      <c r="E602" s="2">
        <v>10517592.98</v>
      </c>
      <c r="F602" s="2">
        <v>10370359.119999999</v>
      </c>
      <c r="G602" s="2">
        <v>3945586.06</v>
      </c>
    </row>
    <row r="603" spans="1:7" x14ac:dyDescent="0.25">
      <c r="A603" s="1">
        <v>44986</v>
      </c>
      <c r="B603" t="s">
        <v>37</v>
      </c>
      <c r="C603" t="s">
        <v>169</v>
      </c>
      <c r="D603" s="2">
        <v>975146.71</v>
      </c>
      <c r="E603" s="2">
        <v>7633520.0899999999</v>
      </c>
      <c r="F603" s="2">
        <v>9388830.9199999999</v>
      </c>
      <c r="G603" s="2">
        <v>1659136.45</v>
      </c>
    </row>
    <row r="604" spans="1:7" x14ac:dyDescent="0.25">
      <c r="A604" s="1">
        <v>44986</v>
      </c>
      <c r="B604" t="s">
        <v>37</v>
      </c>
      <c r="C604" t="s">
        <v>170</v>
      </c>
      <c r="D604" s="2">
        <v>4894203.4800000004</v>
      </c>
      <c r="E604" s="2">
        <v>31011981.09</v>
      </c>
      <c r="F604" s="2">
        <v>34031860.990000002</v>
      </c>
      <c r="G604" s="2">
        <v>4239406.6500000004</v>
      </c>
    </row>
    <row r="605" spans="1:7" x14ac:dyDescent="0.25">
      <c r="A605" s="1">
        <v>44986</v>
      </c>
      <c r="B605" t="s">
        <v>37</v>
      </c>
      <c r="C605" t="s">
        <v>171</v>
      </c>
      <c r="D605" s="2">
        <v>12005584.699999999</v>
      </c>
      <c r="E605" s="2">
        <v>65194712.32</v>
      </c>
      <c r="F605" s="2">
        <v>68332345.340000004</v>
      </c>
      <c r="G605" s="2">
        <v>6992305.0999999996</v>
      </c>
    </row>
    <row r="606" spans="1:7" x14ac:dyDescent="0.25">
      <c r="A606" s="1">
        <v>44986</v>
      </c>
      <c r="B606" t="s">
        <v>37</v>
      </c>
      <c r="C606" t="s">
        <v>172</v>
      </c>
      <c r="D606" s="2">
        <v>63451369.079999998</v>
      </c>
      <c r="E606" s="2">
        <v>57084555.159999996</v>
      </c>
      <c r="F606" s="2">
        <v>64432578.460000001</v>
      </c>
      <c r="G606" s="2">
        <v>7921780.4100000001</v>
      </c>
    </row>
    <row r="607" spans="1:7" x14ac:dyDescent="0.25">
      <c r="A607" s="1">
        <v>44986</v>
      </c>
      <c r="B607" t="s">
        <v>37</v>
      </c>
      <c r="C607" t="s">
        <v>173</v>
      </c>
      <c r="D607" s="2">
        <v>7862653.9500000002</v>
      </c>
      <c r="E607" s="2">
        <v>52011767.549999997</v>
      </c>
      <c r="F607" s="2">
        <v>59793694.439999998</v>
      </c>
      <c r="G607" s="2">
        <v>11667172.310000001</v>
      </c>
    </row>
    <row r="608" spans="1:7" x14ac:dyDescent="0.25">
      <c r="A608" s="1">
        <v>44986</v>
      </c>
      <c r="B608" t="s">
        <v>37</v>
      </c>
      <c r="C608" t="s">
        <v>174</v>
      </c>
      <c r="D608" s="2">
        <v>8356347.0199999996</v>
      </c>
      <c r="E608" s="2">
        <v>38150303.539999999</v>
      </c>
      <c r="F608" s="2">
        <v>39500451.990000002</v>
      </c>
      <c r="G608" s="2">
        <v>5575665.1399999997</v>
      </c>
    </row>
    <row r="609" spans="1:7" x14ac:dyDescent="0.25">
      <c r="A609" s="1">
        <v>44986</v>
      </c>
      <c r="B609" t="s">
        <v>37</v>
      </c>
      <c r="C609" t="s">
        <v>175</v>
      </c>
      <c r="D609" s="2">
        <v>21025672.010000002</v>
      </c>
      <c r="E609" s="2">
        <v>17838847.829999998</v>
      </c>
      <c r="F609" s="2">
        <v>17025490.43</v>
      </c>
      <c r="G609" s="2">
        <v>3542458.26</v>
      </c>
    </row>
    <row r="610" spans="1:7" x14ac:dyDescent="0.25">
      <c r="A610" s="1">
        <v>44986</v>
      </c>
      <c r="B610" t="s">
        <v>37</v>
      </c>
      <c r="C610" t="s">
        <v>176</v>
      </c>
      <c r="D610" s="2">
        <v>3570019.74</v>
      </c>
      <c r="E610" s="2">
        <v>22625849.68</v>
      </c>
      <c r="F610" s="2">
        <v>23500742.859999999</v>
      </c>
      <c r="G610" s="2">
        <v>4164575.46</v>
      </c>
    </row>
    <row r="611" spans="1:7" x14ac:dyDescent="0.25">
      <c r="A611" s="1">
        <v>44986</v>
      </c>
      <c r="B611" t="s">
        <v>37</v>
      </c>
      <c r="C611" t="s">
        <v>177</v>
      </c>
      <c r="D611" s="2">
        <v>37902494.100000001</v>
      </c>
      <c r="E611" s="2">
        <v>37537810.07</v>
      </c>
      <c r="F611" s="2">
        <v>38262104.299999997</v>
      </c>
      <c r="G611" s="2">
        <v>2711487.98</v>
      </c>
    </row>
    <row r="612" spans="1:7" x14ac:dyDescent="0.25">
      <c r="A612" s="1">
        <v>44986</v>
      </c>
      <c r="B612" t="s">
        <v>37</v>
      </c>
      <c r="C612" t="s">
        <v>178</v>
      </c>
      <c r="D612" s="2">
        <v>6023316.0499999998</v>
      </c>
      <c r="E612" s="2">
        <v>41483063.979999997</v>
      </c>
      <c r="F612" s="2">
        <v>46861158.590000004</v>
      </c>
      <c r="G612" s="2">
        <v>2693803.95</v>
      </c>
    </row>
    <row r="613" spans="1:7" x14ac:dyDescent="0.25">
      <c r="A613" s="1">
        <v>44986</v>
      </c>
      <c r="B613" t="s">
        <v>37</v>
      </c>
      <c r="C613" t="s">
        <v>179</v>
      </c>
      <c r="D613" s="2">
        <v>5395894.1799999997</v>
      </c>
      <c r="E613" s="2">
        <v>41102342.960000001</v>
      </c>
      <c r="F613" s="2">
        <v>42602451.890000001</v>
      </c>
      <c r="G613" s="2">
        <v>5296065.18</v>
      </c>
    </row>
    <row r="614" spans="1:7" x14ac:dyDescent="0.25">
      <c r="A614" s="1">
        <v>44986</v>
      </c>
      <c r="B614" t="s">
        <v>37</v>
      </c>
      <c r="C614" t="s">
        <v>180</v>
      </c>
      <c r="D614" s="2">
        <v>6419502.6699999999</v>
      </c>
      <c r="E614" s="2">
        <v>34981200.450000003</v>
      </c>
      <c r="F614" s="2">
        <v>34447578.32</v>
      </c>
      <c r="G614" s="2">
        <v>2962357.86</v>
      </c>
    </row>
    <row r="615" spans="1:7" x14ac:dyDescent="0.25">
      <c r="A615" s="1">
        <v>44986</v>
      </c>
      <c r="B615" t="s">
        <v>37</v>
      </c>
      <c r="C615" t="s">
        <v>181</v>
      </c>
      <c r="D615" s="2">
        <v>8167368.75</v>
      </c>
      <c r="E615" s="2">
        <v>48434340.75</v>
      </c>
      <c r="F615" s="2">
        <v>50827437.369999997</v>
      </c>
      <c r="G615" s="2">
        <v>9091964.4600000009</v>
      </c>
    </row>
    <row r="616" spans="1:7" x14ac:dyDescent="0.25">
      <c r="A616" s="1">
        <v>44986</v>
      </c>
      <c r="B616" t="s">
        <v>37</v>
      </c>
      <c r="C616" t="s">
        <v>182</v>
      </c>
      <c r="D616" s="2">
        <v>321309204.25999999</v>
      </c>
      <c r="E616" s="2">
        <v>37887016.240000002</v>
      </c>
      <c r="F616" s="2">
        <v>38409487.990000002</v>
      </c>
      <c r="G616" s="2">
        <v>4234279.45</v>
      </c>
    </row>
    <row r="617" spans="1:7" x14ac:dyDescent="0.25">
      <c r="A617" s="1">
        <v>44986</v>
      </c>
      <c r="B617" t="s">
        <v>37</v>
      </c>
      <c r="C617" t="s">
        <v>183</v>
      </c>
      <c r="D617" s="2">
        <v>1694407.39</v>
      </c>
      <c r="E617" s="2">
        <v>15809399.5</v>
      </c>
      <c r="F617" s="2">
        <v>15545148.470000001</v>
      </c>
      <c r="G617" s="2">
        <v>1531910.21</v>
      </c>
    </row>
    <row r="618" spans="1:7" x14ac:dyDescent="0.25">
      <c r="A618" s="1">
        <v>44986</v>
      </c>
      <c r="B618" t="s">
        <v>37</v>
      </c>
      <c r="C618" t="s">
        <v>184</v>
      </c>
      <c r="D618" s="2">
        <v>3138075.3</v>
      </c>
      <c r="E618" s="2">
        <v>23943565.690000001</v>
      </c>
      <c r="F618" s="2">
        <v>24123873.219999999</v>
      </c>
      <c r="G618" s="2">
        <v>3844901.66</v>
      </c>
    </row>
    <row r="619" spans="1:7" x14ac:dyDescent="0.25">
      <c r="A619" s="1">
        <v>44986</v>
      </c>
      <c r="B619" t="s">
        <v>37</v>
      </c>
      <c r="C619" t="s">
        <v>185</v>
      </c>
      <c r="D619" s="2">
        <v>6924308.5899999999</v>
      </c>
      <c r="E619" s="2">
        <v>22555773.84</v>
      </c>
      <c r="F619" s="2">
        <v>23848308.010000002</v>
      </c>
      <c r="G619" s="2">
        <v>5131650.57</v>
      </c>
    </row>
    <row r="620" spans="1:7" x14ac:dyDescent="0.25">
      <c r="A620" s="1">
        <v>44986</v>
      </c>
      <c r="B620" t="s">
        <v>37</v>
      </c>
      <c r="C620" t="s">
        <v>186</v>
      </c>
      <c r="D620" s="2">
        <v>5144083.04</v>
      </c>
      <c r="E620" s="2">
        <v>19885608.23</v>
      </c>
      <c r="F620" s="2">
        <v>20036136.460000001</v>
      </c>
      <c r="G620" s="2">
        <v>3504527.24</v>
      </c>
    </row>
    <row r="621" spans="1:7" x14ac:dyDescent="0.25">
      <c r="A621" s="1">
        <v>44986</v>
      </c>
      <c r="B621" t="s">
        <v>37</v>
      </c>
      <c r="C621" t="s">
        <v>187</v>
      </c>
      <c r="D621" s="2">
        <v>1624244.83</v>
      </c>
      <c r="E621" s="2">
        <v>20010305.030000001</v>
      </c>
      <c r="F621" s="2">
        <v>20500051.02</v>
      </c>
      <c r="G621" s="2">
        <v>3144115.45</v>
      </c>
    </row>
    <row r="622" spans="1:7" x14ac:dyDescent="0.25">
      <c r="A622" s="1">
        <v>44986</v>
      </c>
      <c r="B622" t="s">
        <v>37</v>
      </c>
      <c r="C622" t="s">
        <v>188</v>
      </c>
      <c r="D622" s="2">
        <v>83882862.849999994</v>
      </c>
      <c r="E622" s="2">
        <v>24536905.66</v>
      </c>
      <c r="F622" s="2">
        <v>25349878.170000002</v>
      </c>
      <c r="G622" s="2">
        <v>4678164.9800000004</v>
      </c>
    </row>
    <row r="623" spans="1:7" x14ac:dyDescent="0.25">
      <c r="A623" s="1">
        <v>44986</v>
      </c>
      <c r="B623" t="s">
        <v>37</v>
      </c>
      <c r="C623" t="s">
        <v>189</v>
      </c>
      <c r="D623" s="2">
        <v>7687889</v>
      </c>
      <c r="E623" s="2">
        <v>33892533.920000002</v>
      </c>
      <c r="F623" s="2">
        <v>33770697.219999999</v>
      </c>
      <c r="G623" s="2">
        <v>5397762.7300000004</v>
      </c>
    </row>
    <row r="624" spans="1:7" x14ac:dyDescent="0.25">
      <c r="A624" s="1">
        <v>44986</v>
      </c>
      <c r="B624" t="s">
        <v>37</v>
      </c>
      <c r="C624" t="s">
        <v>190</v>
      </c>
      <c r="D624" s="2">
        <v>4701638.01</v>
      </c>
      <c r="E624" s="2">
        <v>27755053.469999999</v>
      </c>
      <c r="F624" s="2">
        <v>27536099.41</v>
      </c>
      <c r="G624" s="2">
        <v>5104330.9800000004</v>
      </c>
    </row>
    <row r="625" spans="1:7" x14ac:dyDescent="0.25">
      <c r="A625" s="1">
        <v>44986</v>
      </c>
      <c r="B625" t="s">
        <v>37</v>
      </c>
      <c r="C625" t="s">
        <v>191</v>
      </c>
      <c r="D625" s="2">
        <v>5155605.04</v>
      </c>
      <c r="E625" s="2">
        <v>38353707.119999997</v>
      </c>
      <c r="F625" s="2">
        <v>39012357.939999998</v>
      </c>
      <c r="G625" s="2">
        <v>3011693.46</v>
      </c>
    </row>
    <row r="626" spans="1:7" x14ac:dyDescent="0.25">
      <c r="A626" s="1">
        <v>44986</v>
      </c>
      <c r="B626" t="s">
        <v>192</v>
      </c>
      <c r="C626" t="s">
        <v>193</v>
      </c>
      <c r="D626" s="2">
        <v>5577919.7199999997</v>
      </c>
      <c r="E626" s="2">
        <v>28889393.879999999</v>
      </c>
      <c r="F626" s="2">
        <v>28883206.48</v>
      </c>
      <c r="G626" s="2">
        <v>782073.8</v>
      </c>
    </row>
    <row r="627" spans="1:7" x14ac:dyDescent="0.25">
      <c r="A627" s="1">
        <v>44986</v>
      </c>
      <c r="B627" t="s">
        <v>53</v>
      </c>
      <c r="C627" t="s">
        <v>194</v>
      </c>
      <c r="D627" s="2">
        <v>-138504540.66</v>
      </c>
      <c r="E627" s="2">
        <v>105137553.54000001</v>
      </c>
      <c r="F627" s="2">
        <v>104844186.62</v>
      </c>
      <c r="G627" s="2">
        <v>18195973.370000001</v>
      </c>
    </row>
    <row r="628" spans="1:7" x14ac:dyDescent="0.25">
      <c r="A628" s="1">
        <v>44986</v>
      </c>
      <c r="B628" t="s">
        <v>37</v>
      </c>
      <c r="C628" t="s">
        <v>195</v>
      </c>
      <c r="D628" s="2">
        <v>173007980.58000001</v>
      </c>
      <c r="E628" s="2">
        <v>23254563.539999999</v>
      </c>
      <c r="F628" s="2">
        <v>20794807.629999999</v>
      </c>
      <c r="G628" s="2">
        <v>29918833.260000002</v>
      </c>
    </row>
    <row r="629" spans="1:7" x14ac:dyDescent="0.25">
      <c r="A629" s="1">
        <v>44986</v>
      </c>
      <c r="B629" t="s">
        <v>192</v>
      </c>
      <c r="C629" t="s">
        <v>196</v>
      </c>
      <c r="D629" s="2">
        <v>62174653.939999998</v>
      </c>
      <c r="E629" s="2">
        <v>58593748.539999999</v>
      </c>
      <c r="F629" s="2">
        <v>59354560.700000003</v>
      </c>
      <c r="G629" s="2">
        <v>824722.51</v>
      </c>
    </row>
    <row r="630" spans="1:7" x14ac:dyDescent="0.25">
      <c r="A630" s="1">
        <v>44986</v>
      </c>
      <c r="B630" t="s">
        <v>61</v>
      </c>
      <c r="C630" t="s">
        <v>197</v>
      </c>
      <c r="D630" s="2">
        <v>1772115.1</v>
      </c>
      <c r="E630" s="2">
        <v>2517331.7799999998</v>
      </c>
      <c r="F630" s="2">
        <v>2098760.44</v>
      </c>
      <c r="G630" s="2">
        <v>211092.07</v>
      </c>
    </row>
    <row r="631" spans="1:7" x14ac:dyDescent="0.25">
      <c r="A631" s="1">
        <v>44986</v>
      </c>
      <c r="B631" t="s">
        <v>125</v>
      </c>
      <c r="C631" t="s">
        <v>198</v>
      </c>
      <c r="D631" s="2">
        <v>196163708.53</v>
      </c>
      <c r="E631" s="2">
        <v>8106586030.1899996</v>
      </c>
      <c r="F631" s="2">
        <v>8034771280.9799995</v>
      </c>
      <c r="G631" s="2">
        <v>91795280.969999999</v>
      </c>
    </row>
    <row r="632" spans="1:7" x14ac:dyDescent="0.25">
      <c r="A632" s="1">
        <v>44986</v>
      </c>
      <c r="B632" t="s">
        <v>63</v>
      </c>
      <c r="C632" t="s">
        <v>199</v>
      </c>
      <c r="D632" s="2">
        <v>3035074221.4400001</v>
      </c>
      <c r="E632" s="2">
        <v>303675163.27999997</v>
      </c>
      <c r="F632" s="2">
        <v>302259764.48000002</v>
      </c>
      <c r="G632" s="2">
        <v>12550007.529999999</v>
      </c>
    </row>
    <row r="633" spans="1:7" x14ac:dyDescent="0.25">
      <c r="A633" s="1">
        <v>44986</v>
      </c>
      <c r="B633" t="s">
        <v>9</v>
      </c>
      <c r="C633" t="s">
        <v>200</v>
      </c>
      <c r="D633" s="2">
        <v>25478410.640000001</v>
      </c>
      <c r="E633" s="2">
        <v>170235868.44999999</v>
      </c>
      <c r="F633" s="2">
        <v>176111630</v>
      </c>
      <c r="G633" s="2">
        <v>27707833.039999999</v>
      </c>
    </row>
    <row r="634" spans="1:7" x14ac:dyDescent="0.25">
      <c r="A634" s="1">
        <v>44986</v>
      </c>
      <c r="B634" t="s">
        <v>24</v>
      </c>
      <c r="C634" t="s">
        <v>201</v>
      </c>
      <c r="D634" s="2">
        <v>49195082.280000001</v>
      </c>
      <c r="E634" s="2">
        <v>5539457.8399999999</v>
      </c>
      <c r="F634" s="2">
        <v>5609299.1799999997</v>
      </c>
      <c r="G634" s="2">
        <v>1795834.95</v>
      </c>
    </row>
    <row r="635" spans="1:7" x14ac:dyDescent="0.25">
      <c r="A635" s="1">
        <v>44986</v>
      </c>
      <c r="B635" t="s">
        <v>29</v>
      </c>
      <c r="C635" t="s">
        <v>202</v>
      </c>
      <c r="D635" s="2">
        <v>5869619.6900000004</v>
      </c>
      <c r="E635" s="2">
        <v>33819233.719999999</v>
      </c>
      <c r="F635" s="2">
        <v>29619646.280000001</v>
      </c>
      <c r="G635" s="2">
        <v>126175179.29000001</v>
      </c>
    </row>
    <row r="636" spans="1:7" x14ac:dyDescent="0.25">
      <c r="A636" s="1">
        <v>44986</v>
      </c>
      <c r="B636" t="s">
        <v>37</v>
      </c>
      <c r="C636" t="s">
        <v>203</v>
      </c>
      <c r="D636" s="2">
        <v>56419726.670000002</v>
      </c>
      <c r="E636" s="2">
        <v>72512054.390000001</v>
      </c>
      <c r="F636" s="2">
        <v>73593516.019999996</v>
      </c>
      <c r="G636" s="2">
        <v>7890559.1399999997</v>
      </c>
    </row>
    <row r="637" spans="1:7" x14ac:dyDescent="0.25">
      <c r="A637" s="1">
        <v>44986</v>
      </c>
      <c r="B637" t="s">
        <v>45</v>
      </c>
      <c r="C637" t="s">
        <v>204</v>
      </c>
      <c r="D637" s="2">
        <v>158515603666.32999</v>
      </c>
      <c r="E637" s="2">
        <v>249636233859.53</v>
      </c>
      <c r="F637" s="2">
        <v>249756343939.51001</v>
      </c>
      <c r="G637" s="2">
        <v>7598938777.2600002</v>
      </c>
    </row>
    <row r="638" spans="1:7" x14ac:dyDescent="0.25">
      <c r="A638" s="1">
        <v>44986</v>
      </c>
      <c r="B638" t="s">
        <v>75</v>
      </c>
      <c r="C638" t="s">
        <v>205</v>
      </c>
      <c r="D638" s="2">
        <v>2677892022.9200001</v>
      </c>
      <c r="E638" s="2">
        <v>2523152258.04</v>
      </c>
      <c r="F638" s="2">
        <v>2657931733.5599999</v>
      </c>
      <c r="G638" s="2">
        <v>29780090.760000002</v>
      </c>
    </row>
    <row r="639" spans="1:7" x14ac:dyDescent="0.25">
      <c r="A639" s="1">
        <v>44986</v>
      </c>
      <c r="B639" t="s">
        <v>206</v>
      </c>
      <c r="C639" t="s">
        <v>207</v>
      </c>
      <c r="D639" s="2">
        <v>200000</v>
      </c>
      <c r="E639" s="2">
        <v>8157.38</v>
      </c>
      <c r="F639" s="2">
        <v>7199.75</v>
      </c>
      <c r="G639">
        <v>0</v>
      </c>
    </row>
    <row r="640" spans="1:7" x14ac:dyDescent="0.25">
      <c r="A640" s="1">
        <v>44986</v>
      </c>
      <c r="B640" t="s">
        <v>50</v>
      </c>
      <c r="C640" t="s">
        <v>208</v>
      </c>
      <c r="D640" s="2">
        <v>364572495.06</v>
      </c>
      <c r="E640" s="2">
        <v>70140980.099999994</v>
      </c>
      <c r="F640" s="2">
        <v>38394045.240000002</v>
      </c>
      <c r="G640" s="2">
        <v>43405707.479999997</v>
      </c>
    </row>
    <row r="641" spans="1:7" x14ac:dyDescent="0.25">
      <c r="A641" s="1">
        <v>44986</v>
      </c>
      <c r="B641" t="s">
        <v>31</v>
      </c>
      <c r="C641" t="s">
        <v>209</v>
      </c>
      <c r="D641" s="2">
        <v>18722339.510000002</v>
      </c>
      <c r="E641" s="2">
        <v>48054578.869999997</v>
      </c>
      <c r="F641" s="2">
        <v>48363218.380000003</v>
      </c>
      <c r="G641" s="2">
        <v>22413709.73</v>
      </c>
    </row>
    <row r="642" spans="1:7" x14ac:dyDescent="0.25">
      <c r="A642" s="1">
        <v>44986</v>
      </c>
      <c r="B642" t="s">
        <v>210</v>
      </c>
      <c r="C642" t="s">
        <v>211</v>
      </c>
      <c r="D642" s="2">
        <v>1160545.18</v>
      </c>
      <c r="E642" s="2">
        <v>245807.18</v>
      </c>
      <c r="F642" s="2">
        <v>245807.18</v>
      </c>
      <c r="G642">
        <v>0</v>
      </c>
    </row>
    <row r="643" spans="1:7" x14ac:dyDescent="0.25">
      <c r="A643" s="1">
        <v>44986</v>
      </c>
      <c r="B643" t="s">
        <v>125</v>
      </c>
      <c r="C643" t="s">
        <v>212</v>
      </c>
      <c r="D643" s="2">
        <v>341000</v>
      </c>
      <c r="E643" s="2">
        <v>123526.03</v>
      </c>
      <c r="F643" s="2">
        <v>120642.69</v>
      </c>
      <c r="G643">
        <v>0</v>
      </c>
    </row>
    <row r="644" spans="1:7" x14ac:dyDescent="0.25">
      <c r="A644" s="1">
        <v>44986</v>
      </c>
      <c r="B644" t="s">
        <v>16</v>
      </c>
      <c r="C644" t="s">
        <v>213</v>
      </c>
      <c r="D644" s="2">
        <v>9668940337.6299992</v>
      </c>
      <c r="E644" s="2">
        <v>10514957493.35</v>
      </c>
      <c r="F644" s="2">
        <v>10356950846.110001</v>
      </c>
      <c r="G644" s="2">
        <v>1356518640.3599999</v>
      </c>
    </row>
    <row r="645" spans="1:7" x14ac:dyDescent="0.25">
      <c r="A645" s="1">
        <v>44986</v>
      </c>
      <c r="B645" t="s">
        <v>48</v>
      </c>
      <c r="C645" t="s">
        <v>214</v>
      </c>
      <c r="D645" s="2">
        <v>203524935.21000001</v>
      </c>
      <c r="E645">
        <v>0</v>
      </c>
      <c r="F645">
        <v>0</v>
      </c>
      <c r="G645" s="2">
        <v>527343.25</v>
      </c>
    </row>
    <row r="646" spans="1:7" x14ac:dyDescent="0.25">
      <c r="A646" s="1">
        <v>44986</v>
      </c>
      <c r="B646" t="s">
        <v>27</v>
      </c>
      <c r="C646" t="s">
        <v>215</v>
      </c>
      <c r="D646" s="2">
        <v>47507257.460000001</v>
      </c>
      <c r="E646" s="2">
        <v>6242090.6900000004</v>
      </c>
      <c r="F646" s="2">
        <v>7013030.2999999998</v>
      </c>
      <c r="G646" s="2">
        <v>53387173.539999999</v>
      </c>
    </row>
    <row r="647" spans="1:7" x14ac:dyDescent="0.25">
      <c r="A647" s="1">
        <v>44986</v>
      </c>
      <c r="B647" t="s">
        <v>216</v>
      </c>
      <c r="C647" t="s">
        <v>217</v>
      </c>
      <c r="D647" s="2">
        <v>700500</v>
      </c>
      <c r="E647" s="2">
        <v>108944.86</v>
      </c>
      <c r="F647" s="2">
        <v>99065.85</v>
      </c>
      <c r="G647">
        <v>0</v>
      </c>
    </row>
    <row r="648" spans="1:7" x14ac:dyDescent="0.25">
      <c r="A648" s="1">
        <v>44986</v>
      </c>
      <c r="B648" t="s">
        <v>69</v>
      </c>
      <c r="C648" t="s">
        <v>218</v>
      </c>
      <c r="D648" s="2">
        <v>350139897.16000003</v>
      </c>
      <c r="E648" s="2">
        <v>324120053.14999998</v>
      </c>
      <c r="F648" s="2">
        <v>323120100.61000001</v>
      </c>
      <c r="G648" s="2">
        <v>20243155.809999999</v>
      </c>
    </row>
    <row r="649" spans="1:7" x14ac:dyDescent="0.25">
      <c r="A649" s="1">
        <v>44986</v>
      </c>
      <c r="B649" t="s">
        <v>13</v>
      </c>
      <c r="C649" t="s">
        <v>219</v>
      </c>
      <c r="D649" s="2">
        <v>12075764.24</v>
      </c>
      <c r="E649" s="2">
        <v>23643440.5</v>
      </c>
      <c r="F649" s="2">
        <v>24003759.41</v>
      </c>
      <c r="G649" s="2">
        <v>54583.01</v>
      </c>
    </row>
    <row r="650" spans="1:7" x14ac:dyDescent="0.25">
      <c r="A650" s="1">
        <v>44986</v>
      </c>
      <c r="B650" t="s">
        <v>53</v>
      </c>
      <c r="C650" t="s">
        <v>220</v>
      </c>
      <c r="D650" s="2">
        <v>2041981.35</v>
      </c>
      <c r="E650" s="2">
        <v>1056086.6200000001</v>
      </c>
      <c r="F650" s="2">
        <v>1053471.49</v>
      </c>
      <c r="G650" s="2">
        <v>6802859.8600000003</v>
      </c>
    </row>
    <row r="651" spans="1:7" x14ac:dyDescent="0.25">
      <c r="A651" s="1">
        <v>44986</v>
      </c>
      <c r="B651" t="s">
        <v>130</v>
      </c>
      <c r="C651" t="s">
        <v>221</v>
      </c>
      <c r="D651" s="2">
        <v>137508640.84</v>
      </c>
      <c r="E651" s="2">
        <v>14033390543.299999</v>
      </c>
      <c r="F651" s="2">
        <v>14033471997.360001</v>
      </c>
      <c r="G651" s="2">
        <v>40611106.409999996</v>
      </c>
    </row>
    <row r="652" spans="1:7" x14ac:dyDescent="0.25">
      <c r="A652" s="1">
        <v>44986</v>
      </c>
      <c r="B652" t="s">
        <v>192</v>
      </c>
      <c r="C652" t="s">
        <v>222</v>
      </c>
      <c r="D652" s="2">
        <v>1063824.58</v>
      </c>
      <c r="E652" s="2">
        <v>56879.21</v>
      </c>
      <c r="F652" s="2">
        <v>45196.29</v>
      </c>
      <c r="G652" s="2">
        <v>91376.07</v>
      </c>
    </row>
    <row r="653" spans="1:7" x14ac:dyDescent="0.25">
      <c r="A653" s="1">
        <v>44986</v>
      </c>
      <c r="B653" t="s">
        <v>223</v>
      </c>
      <c r="C653" t="s">
        <v>224</v>
      </c>
      <c r="D653" s="2">
        <v>4505375.4400000004</v>
      </c>
      <c r="E653" s="2">
        <v>1876494.66</v>
      </c>
      <c r="F653" s="2">
        <v>1867355.65</v>
      </c>
      <c r="G653" s="2">
        <v>17599103.219999999</v>
      </c>
    </row>
    <row r="654" spans="1:7" x14ac:dyDescent="0.25">
      <c r="A654" s="1">
        <v>44986</v>
      </c>
      <c r="B654" t="s">
        <v>22</v>
      </c>
      <c r="C654" t="s">
        <v>225</v>
      </c>
      <c r="D654" s="2">
        <v>25875774.469999999</v>
      </c>
      <c r="E654" s="2">
        <v>13994654.060000001</v>
      </c>
      <c r="F654" s="2">
        <v>12752747.91</v>
      </c>
      <c r="G654" s="2">
        <v>1487717.58</v>
      </c>
    </row>
    <row r="655" spans="1:7" x14ac:dyDescent="0.25">
      <c r="A655" s="1">
        <v>44986</v>
      </c>
      <c r="B655" t="s">
        <v>77</v>
      </c>
      <c r="C655" t="s">
        <v>226</v>
      </c>
      <c r="D655" s="2">
        <v>138139199.28</v>
      </c>
      <c r="E655" s="2">
        <v>78443472.780000001</v>
      </c>
      <c r="F655" s="2">
        <v>78443472.780000001</v>
      </c>
      <c r="G655" s="2">
        <v>436482934.32999998</v>
      </c>
    </row>
    <row r="656" spans="1:7" x14ac:dyDescent="0.25">
      <c r="A656" s="1">
        <v>44986</v>
      </c>
      <c r="B656" t="s">
        <v>80</v>
      </c>
      <c r="C656" t="s">
        <v>227</v>
      </c>
      <c r="D656" s="2">
        <v>854641819.52999997</v>
      </c>
      <c r="E656" s="2">
        <v>262669973.28999999</v>
      </c>
      <c r="F656" s="2">
        <v>259041384.66</v>
      </c>
      <c r="G656" s="2">
        <v>25745277.43</v>
      </c>
    </row>
    <row r="657" spans="1:7" x14ac:dyDescent="0.25">
      <c r="A657" s="1">
        <v>44986</v>
      </c>
      <c r="B657" t="s">
        <v>127</v>
      </c>
      <c r="C657" t="s">
        <v>228</v>
      </c>
      <c r="D657" s="2">
        <v>-2412949.7599999998</v>
      </c>
      <c r="E657" s="2">
        <v>14792275.92</v>
      </c>
      <c r="F657" s="2">
        <v>11056131.34</v>
      </c>
      <c r="G657" s="2">
        <v>3336695.86</v>
      </c>
    </row>
    <row r="658" spans="1:7" x14ac:dyDescent="0.25">
      <c r="A658" s="1">
        <v>44986</v>
      </c>
      <c r="B658" t="s">
        <v>140</v>
      </c>
      <c r="C658" t="s">
        <v>229</v>
      </c>
      <c r="D658" s="2">
        <v>-38916310.850000001</v>
      </c>
      <c r="E658" s="2">
        <v>11191356.18</v>
      </c>
      <c r="F658" s="2">
        <v>12156327.359999999</v>
      </c>
      <c r="G658" s="2">
        <v>4880622.58</v>
      </c>
    </row>
    <row r="659" spans="1:7" x14ac:dyDescent="0.25">
      <c r="A659" s="1">
        <v>44986</v>
      </c>
      <c r="B659" t="s">
        <v>19</v>
      </c>
      <c r="C659" t="s">
        <v>230</v>
      </c>
      <c r="D659" s="2">
        <v>-2220221.16</v>
      </c>
      <c r="E659" s="2">
        <v>22313165.350000001</v>
      </c>
      <c r="F659" s="2">
        <v>21583446.030000001</v>
      </c>
      <c r="G659" s="2">
        <v>6711784.3899999997</v>
      </c>
    </row>
    <row r="660" spans="1:7" x14ac:dyDescent="0.25">
      <c r="A660" s="1">
        <v>44986</v>
      </c>
      <c r="B660" t="s">
        <v>13</v>
      </c>
      <c r="C660" t="s">
        <v>231</v>
      </c>
      <c r="D660" s="2">
        <v>2737573.48</v>
      </c>
      <c r="E660" s="2">
        <v>30969438.079999998</v>
      </c>
      <c r="F660" s="2">
        <v>30915898.420000002</v>
      </c>
      <c r="G660" s="2">
        <v>871776.36</v>
      </c>
    </row>
    <row r="661" spans="1:7" x14ac:dyDescent="0.25">
      <c r="A661" s="1">
        <v>44986</v>
      </c>
      <c r="B661" t="s">
        <v>31</v>
      </c>
      <c r="C661" t="s">
        <v>232</v>
      </c>
      <c r="D661" s="2">
        <v>151910977.86000001</v>
      </c>
      <c r="E661" s="2">
        <v>650596673.57000005</v>
      </c>
      <c r="F661" s="2">
        <v>627558200.82000005</v>
      </c>
      <c r="G661" s="2">
        <v>51663349.909999996</v>
      </c>
    </row>
    <row r="662" spans="1:7" x14ac:dyDescent="0.25">
      <c r="A662" s="1">
        <v>44986</v>
      </c>
      <c r="B662" t="s">
        <v>31</v>
      </c>
      <c r="C662" t="s">
        <v>233</v>
      </c>
      <c r="D662" s="2">
        <v>64509125.869999997</v>
      </c>
      <c r="E662" s="2">
        <v>433215934.92000002</v>
      </c>
      <c r="F662" s="2">
        <v>428161252.10000002</v>
      </c>
      <c r="G662" s="2">
        <v>25664162.16</v>
      </c>
    </row>
    <row r="663" spans="1:7" x14ac:dyDescent="0.25">
      <c r="A663" s="1">
        <v>44986</v>
      </c>
      <c r="B663" t="s">
        <v>61</v>
      </c>
      <c r="C663" t="s">
        <v>234</v>
      </c>
      <c r="D663" s="2">
        <v>342955270.87</v>
      </c>
      <c r="E663" s="2">
        <v>89253848.510000005</v>
      </c>
      <c r="F663" s="2">
        <v>87697668.099999994</v>
      </c>
      <c r="G663" s="2">
        <v>6446429.0099999998</v>
      </c>
    </row>
    <row r="664" spans="1:7" x14ac:dyDescent="0.25">
      <c r="A664" s="1">
        <v>44986</v>
      </c>
      <c r="B664" t="s">
        <v>22</v>
      </c>
      <c r="C664" t="s">
        <v>235</v>
      </c>
      <c r="D664" s="2">
        <v>2729514.68</v>
      </c>
      <c r="E664" s="2">
        <v>333674.18</v>
      </c>
      <c r="F664" s="2">
        <v>320030.34000000003</v>
      </c>
      <c r="G664" s="2">
        <v>13473.01</v>
      </c>
    </row>
    <row r="665" spans="1:7" x14ac:dyDescent="0.25">
      <c r="A665" s="1">
        <v>44986</v>
      </c>
      <c r="B665" t="s">
        <v>192</v>
      </c>
      <c r="C665" t="s">
        <v>236</v>
      </c>
      <c r="D665" s="2">
        <v>-86007199.140000001</v>
      </c>
      <c r="E665" s="2">
        <v>8998830.9299999997</v>
      </c>
      <c r="F665" s="2">
        <v>8964274.6099999994</v>
      </c>
      <c r="G665" s="2">
        <v>1188736.2</v>
      </c>
    </row>
    <row r="666" spans="1:7" x14ac:dyDescent="0.25">
      <c r="A666" s="1">
        <v>44986</v>
      </c>
      <c r="B666" t="s">
        <v>50</v>
      </c>
      <c r="C666" t="s">
        <v>237</v>
      </c>
      <c r="D666" s="2">
        <v>1553877.28</v>
      </c>
      <c r="E666" s="2">
        <v>1102197.92</v>
      </c>
      <c r="F666" s="2">
        <v>1059634.8</v>
      </c>
      <c r="G666" s="2">
        <v>2550512.69</v>
      </c>
    </row>
    <row r="667" spans="1:7" x14ac:dyDescent="0.25">
      <c r="A667" s="1">
        <v>44986</v>
      </c>
      <c r="B667" t="s">
        <v>45</v>
      </c>
      <c r="C667" t="s">
        <v>238</v>
      </c>
      <c r="D667" s="2">
        <v>-1607569.44</v>
      </c>
      <c r="E667" s="2">
        <v>19302000.859999999</v>
      </c>
      <c r="F667" s="2">
        <v>19599638.390000001</v>
      </c>
      <c r="G667" s="2">
        <v>696363.21</v>
      </c>
    </row>
    <row r="668" spans="1:7" x14ac:dyDescent="0.25">
      <c r="A668" s="1">
        <v>44986</v>
      </c>
      <c r="B668" t="s">
        <v>50</v>
      </c>
      <c r="C668" t="s">
        <v>239</v>
      </c>
      <c r="D668" s="2">
        <v>2596576.65</v>
      </c>
      <c r="E668" s="2">
        <v>2544056.29</v>
      </c>
      <c r="F668" s="2">
        <v>2764594.75</v>
      </c>
      <c r="G668" s="2">
        <v>1911731.68</v>
      </c>
    </row>
    <row r="669" spans="1:7" x14ac:dyDescent="0.25">
      <c r="A669" s="1">
        <v>44986</v>
      </c>
      <c r="B669" t="s">
        <v>50</v>
      </c>
      <c r="C669" t="s">
        <v>240</v>
      </c>
      <c r="D669" s="2">
        <v>3941929.71</v>
      </c>
      <c r="E669" s="2">
        <v>3430536.55</v>
      </c>
      <c r="F669" s="2">
        <v>3451403.52</v>
      </c>
      <c r="G669" s="2">
        <v>844448.11</v>
      </c>
    </row>
    <row r="670" spans="1:7" x14ac:dyDescent="0.25">
      <c r="A670" s="1">
        <v>44986</v>
      </c>
      <c r="B670" t="s">
        <v>125</v>
      </c>
      <c r="C670" t="s">
        <v>241</v>
      </c>
      <c r="D670" s="2">
        <v>5565710.5199999996</v>
      </c>
      <c r="E670" s="2">
        <v>2547632.1800000002</v>
      </c>
      <c r="F670" s="2">
        <v>2881624.94</v>
      </c>
      <c r="G670" s="2">
        <v>498437.93</v>
      </c>
    </row>
    <row r="671" spans="1:7" x14ac:dyDescent="0.25">
      <c r="A671" s="1">
        <v>44986</v>
      </c>
      <c r="B671" t="s">
        <v>27</v>
      </c>
      <c r="C671" t="s">
        <v>242</v>
      </c>
      <c r="D671" s="2">
        <v>-97906240.120000005</v>
      </c>
      <c r="E671" s="2">
        <v>34508059.57</v>
      </c>
      <c r="F671" s="2">
        <v>28443065.260000002</v>
      </c>
      <c r="G671" s="2">
        <v>44606106.729999997</v>
      </c>
    </row>
    <row r="672" spans="1:7" x14ac:dyDescent="0.25">
      <c r="A672" s="1">
        <v>44986</v>
      </c>
      <c r="B672" t="s">
        <v>37</v>
      </c>
      <c r="C672" t="s">
        <v>243</v>
      </c>
      <c r="D672" s="2">
        <v>718963.82</v>
      </c>
      <c r="E672" s="2">
        <v>12519847.33</v>
      </c>
      <c r="F672" s="2">
        <v>12613030.67</v>
      </c>
      <c r="G672" s="2">
        <v>889902.48</v>
      </c>
    </row>
    <row r="673" spans="1:7" x14ac:dyDescent="0.25">
      <c r="A673" s="1">
        <v>44986</v>
      </c>
      <c r="B673" t="s">
        <v>37</v>
      </c>
      <c r="C673" t="s">
        <v>244</v>
      </c>
      <c r="D673" s="2">
        <v>41006127.549999997</v>
      </c>
      <c r="E673" s="2">
        <v>161209112.56999999</v>
      </c>
      <c r="F673" s="2">
        <v>161345812.06999999</v>
      </c>
      <c r="G673" s="2">
        <v>5788837.9699999997</v>
      </c>
    </row>
    <row r="674" spans="1:7" x14ac:dyDescent="0.25">
      <c r="A674" s="1">
        <v>44986</v>
      </c>
      <c r="B674" t="s">
        <v>37</v>
      </c>
      <c r="C674" t="s">
        <v>245</v>
      </c>
      <c r="D674" s="2">
        <v>76163121.510000005</v>
      </c>
      <c r="E674" s="2">
        <v>21829771.550000001</v>
      </c>
      <c r="F674" s="2">
        <v>21248461.190000001</v>
      </c>
      <c r="G674" s="2">
        <v>5699849.9400000004</v>
      </c>
    </row>
    <row r="675" spans="1:7" x14ac:dyDescent="0.25">
      <c r="A675" s="1">
        <v>44986</v>
      </c>
      <c r="B675" t="s">
        <v>37</v>
      </c>
      <c r="C675" t="s">
        <v>246</v>
      </c>
      <c r="D675" s="2">
        <v>3991952.4</v>
      </c>
      <c r="E675" s="2">
        <v>13338785.84</v>
      </c>
      <c r="F675" s="2">
        <v>13589051.640000001</v>
      </c>
      <c r="G675" s="2">
        <v>3263987.96</v>
      </c>
    </row>
    <row r="676" spans="1:7" x14ac:dyDescent="0.25">
      <c r="A676" s="1">
        <v>44986</v>
      </c>
      <c r="B676" t="s">
        <v>37</v>
      </c>
      <c r="C676" t="s">
        <v>247</v>
      </c>
      <c r="D676" s="2">
        <v>35776172.539999999</v>
      </c>
      <c r="E676" s="2">
        <v>147206480.06</v>
      </c>
      <c r="F676" s="2">
        <v>143675420.52000001</v>
      </c>
      <c r="G676" s="2">
        <v>13203659.029999999</v>
      </c>
    </row>
    <row r="677" spans="1:7" x14ac:dyDescent="0.25">
      <c r="A677" s="1">
        <v>44986</v>
      </c>
      <c r="B677" t="s">
        <v>37</v>
      </c>
      <c r="C677" t="s">
        <v>248</v>
      </c>
      <c r="D677" s="2">
        <v>-6122811.0300000003</v>
      </c>
      <c r="E677" s="2">
        <v>76440868.340000004</v>
      </c>
      <c r="F677" s="2">
        <v>78788944.560000002</v>
      </c>
      <c r="G677" s="2">
        <v>12999604.74</v>
      </c>
    </row>
    <row r="678" spans="1:7" x14ac:dyDescent="0.25">
      <c r="A678" s="1">
        <v>44986</v>
      </c>
      <c r="B678" t="s">
        <v>37</v>
      </c>
      <c r="C678" t="s">
        <v>249</v>
      </c>
      <c r="D678" s="2">
        <v>2815658.03</v>
      </c>
      <c r="E678" s="2">
        <v>18894290.57</v>
      </c>
      <c r="F678" s="2">
        <v>20899491.690000001</v>
      </c>
      <c r="G678" s="2">
        <v>3500979.37</v>
      </c>
    </row>
    <row r="679" spans="1:7" x14ac:dyDescent="0.25">
      <c r="A679" s="1">
        <v>44986</v>
      </c>
      <c r="B679" t="s">
        <v>37</v>
      </c>
      <c r="C679" t="s">
        <v>250</v>
      </c>
      <c r="D679" s="2">
        <v>12529371.09</v>
      </c>
      <c r="E679" s="2">
        <v>69729516.230000004</v>
      </c>
      <c r="F679" s="2">
        <v>63592950.990000002</v>
      </c>
      <c r="G679" s="2">
        <v>3649745.94</v>
      </c>
    </row>
    <row r="680" spans="1:7" x14ac:dyDescent="0.25">
      <c r="A680" s="1">
        <v>44986</v>
      </c>
      <c r="B680" t="s">
        <v>37</v>
      </c>
      <c r="C680" t="s">
        <v>251</v>
      </c>
      <c r="D680" s="2">
        <v>30927325.75</v>
      </c>
      <c r="E680" s="2">
        <v>8781135.8000000007</v>
      </c>
      <c r="F680" s="2">
        <v>9578564.4700000007</v>
      </c>
      <c r="G680" s="2">
        <v>1415014.34</v>
      </c>
    </row>
    <row r="681" spans="1:7" x14ac:dyDescent="0.25">
      <c r="A681" s="1">
        <v>44986</v>
      </c>
      <c r="B681" t="s">
        <v>37</v>
      </c>
      <c r="C681" t="s">
        <v>252</v>
      </c>
      <c r="D681" s="2">
        <v>8150632.9299999997</v>
      </c>
      <c r="E681" s="2">
        <v>107275775.18000001</v>
      </c>
      <c r="F681" s="2">
        <v>112554060.16</v>
      </c>
      <c r="G681" s="2">
        <v>13391042.34</v>
      </c>
    </row>
    <row r="682" spans="1:7" x14ac:dyDescent="0.25">
      <c r="A682" s="1">
        <v>44986</v>
      </c>
      <c r="B682" t="s">
        <v>37</v>
      </c>
      <c r="C682" t="s">
        <v>253</v>
      </c>
      <c r="D682" s="2">
        <v>3322456.26</v>
      </c>
      <c r="E682" s="2">
        <v>18218940.010000002</v>
      </c>
      <c r="F682" s="2">
        <v>17822673.48</v>
      </c>
      <c r="G682" s="2">
        <v>3858762.44</v>
      </c>
    </row>
    <row r="683" spans="1:7" x14ac:dyDescent="0.25">
      <c r="A683" s="1">
        <v>44986</v>
      </c>
      <c r="B683" t="s">
        <v>37</v>
      </c>
      <c r="C683" t="s">
        <v>254</v>
      </c>
      <c r="D683" s="2">
        <v>1671933.8</v>
      </c>
      <c r="E683" s="2">
        <v>9477602.1600000001</v>
      </c>
      <c r="F683" s="2">
        <v>8613569.0299999993</v>
      </c>
      <c r="G683" s="2">
        <v>1286003.17</v>
      </c>
    </row>
    <row r="684" spans="1:7" x14ac:dyDescent="0.25">
      <c r="A684" s="1">
        <v>44986</v>
      </c>
      <c r="B684" t="s">
        <v>37</v>
      </c>
      <c r="C684" t="s">
        <v>255</v>
      </c>
      <c r="D684" s="2">
        <v>13512358.550000001</v>
      </c>
      <c r="E684" s="2">
        <v>82155417.689999998</v>
      </c>
      <c r="F684" s="2">
        <v>86446859.469999999</v>
      </c>
      <c r="G684" s="2">
        <v>4580236.7300000004</v>
      </c>
    </row>
    <row r="685" spans="1:7" x14ac:dyDescent="0.25">
      <c r="A685" s="1">
        <v>44986</v>
      </c>
      <c r="B685" t="s">
        <v>37</v>
      </c>
      <c r="C685" t="s">
        <v>256</v>
      </c>
      <c r="D685" s="2">
        <v>10850261.41</v>
      </c>
      <c r="E685" s="2">
        <v>32845575.25</v>
      </c>
      <c r="F685" s="2">
        <v>34013798.82</v>
      </c>
      <c r="G685" s="2">
        <v>4650400.42</v>
      </c>
    </row>
    <row r="686" spans="1:7" x14ac:dyDescent="0.25">
      <c r="A686" s="1">
        <v>44986</v>
      </c>
      <c r="B686" t="s">
        <v>37</v>
      </c>
      <c r="C686" t="s">
        <v>257</v>
      </c>
      <c r="D686" s="2">
        <v>34157414.899999999</v>
      </c>
      <c r="E686" s="2">
        <v>198242170.87</v>
      </c>
      <c r="F686" s="2">
        <v>194463329.15000001</v>
      </c>
      <c r="G686" s="2">
        <v>7626870.79</v>
      </c>
    </row>
    <row r="687" spans="1:7" x14ac:dyDescent="0.25">
      <c r="A687" s="1">
        <v>44986</v>
      </c>
      <c r="B687" t="s">
        <v>37</v>
      </c>
      <c r="C687" t="s">
        <v>258</v>
      </c>
      <c r="D687" s="2">
        <v>6208677.8499999996</v>
      </c>
      <c r="E687" s="2">
        <v>38694112.100000001</v>
      </c>
      <c r="F687" s="2">
        <v>34852516.18</v>
      </c>
      <c r="G687" s="2">
        <v>6066242.0599999996</v>
      </c>
    </row>
    <row r="688" spans="1:7" x14ac:dyDescent="0.25">
      <c r="A688" s="1">
        <v>44986</v>
      </c>
      <c r="B688" t="s">
        <v>37</v>
      </c>
      <c r="C688" t="s">
        <v>259</v>
      </c>
      <c r="D688" s="2">
        <v>19495545.989999998</v>
      </c>
      <c r="E688" s="2">
        <v>143657493.37</v>
      </c>
      <c r="F688" s="2">
        <v>143011872.19999999</v>
      </c>
      <c r="G688" s="2">
        <v>13057996.91</v>
      </c>
    </row>
    <row r="689" spans="1:7" x14ac:dyDescent="0.25">
      <c r="A689" s="1">
        <v>44986</v>
      </c>
      <c r="B689" t="s">
        <v>37</v>
      </c>
      <c r="C689" t="s">
        <v>260</v>
      </c>
      <c r="D689" s="2">
        <v>4459304.3</v>
      </c>
      <c r="E689" s="2">
        <v>7911621.4800000004</v>
      </c>
      <c r="F689" s="2">
        <v>8123688.1699999999</v>
      </c>
      <c r="G689" s="2">
        <v>1566445.86</v>
      </c>
    </row>
    <row r="690" spans="1:7" x14ac:dyDescent="0.25">
      <c r="A690" s="1">
        <v>44986</v>
      </c>
      <c r="B690" t="s">
        <v>37</v>
      </c>
      <c r="C690" t="s">
        <v>261</v>
      </c>
      <c r="D690" s="2">
        <v>5491458.9699999997</v>
      </c>
      <c r="E690" s="2">
        <v>18836748.050000001</v>
      </c>
      <c r="F690" s="2">
        <v>19361898.370000001</v>
      </c>
      <c r="G690" s="2">
        <v>5274107.67</v>
      </c>
    </row>
    <row r="691" spans="1:7" x14ac:dyDescent="0.25">
      <c r="A691" s="1">
        <v>44986</v>
      </c>
      <c r="B691" t="s">
        <v>37</v>
      </c>
      <c r="C691" t="s">
        <v>262</v>
      </c>
      <c r="D691" s="2">
        <v>25956562.489999998</v>
      </c>
      <c r="E691" s="2">
        <v>150710075.49000001</v>
      </c>
      <c r="F691" s="2">
        <v>155605463.88999999</v>
      </c>
      <c r="G691" s="2">
        <v>16387049.109999999</v>
      </c>
    </row>
    <row r="692" spans="1:7" x14ac:dyDescent="0.25">
      <c r="A692" s="1">
        <v>44986</v>
      </c>
      <c r="B692" t="s">
        <v>37</v>
      </c>
      <c r="C692" t="s">
        <v>263</v>
      </c>
      <c r="D692" s="2">
        <v>12277740.76</v>
      </c>
      <c r="E692" s="2">
        <v>115168004.59999999</v>
      </c>
      <c r="F692" s="2">
        <v>122707945.25</v>
      </c>
      <c r="G692" s="2">
        <v>6421022.79</v>
      </c>
    </row>
    <row r="693" spans="1:7" x14ac:dyDescent="0.25">
      <c r="A693" s="1">
        <v>44986</v>
      </c>
      <c r="B693" t="s">
        <v>37</v>
      </c>
      <c r="C693" t="s">
        <v>264</v>
      </c>
      <c r="D693" s="2">
        <v>7918261.0899999999</v>
      </c>
      <c r="E693" s="2">
        <v>112892213.63</v>
      </c>
      <c r="F693" s="2">
        <v>115410583.23</v>
      </c>
      <c r="G693" s="2">
        <v>10826803.439999999</v>
      </c>
    </row>
    <row r="694" spans="1:7" x14ac:dyDescent="0.25">
      <c r="A694" s="1">
        <v>44986</v>
      </c>
      <c r="B694" t="s">
        <v>37</v>
      </c>
      <c r="C694" t="s">
        <v>265</v>
      </c>
      <c r="D694" s="2">
        <v>8701220.8100000005</v>
      </c>
      <c r="E694" s="2">
        <v>73257488.030000001</v>
      </c>
      <c r="F694" s="2">
        <v>73739078.299999997</v>
      </c>
      <c r="G694" s="2">
        <v>4258066.34</v>
      </c>
    </row>
    <row r="695" spans="1:7" x14ac:dyDescent="0.25">
      <c r="A695" s="1">
        <v>44986</v>
      </c>
      <c r="B695" t="s">
        <v>37</v>
      </c>
      <c r="C695" t="s">
        <v>266</v>
      </c>
      <c r="D695" s="2">
        <v>4842795.66</v>
      </c>
      <c r="E695" s="2">
        <v>4669093.24</v>
      </c>
      <c r="F695" s="2">
        <v>4632248.0599999996</v>
      </c>
      <c r="G695" s="2">
        <v>352607</v>
      </c>
    </row>
    <row r="696" spans="1:7" x14ac:dyDescent="0.25">
      <c r="A696" s="1">
        <v>44986</v>
      </c>
      <c r="B696" t="s">
        <v>37</v>
      </c>
      <c r="C696" t="s">
        <v>267</v>
      </c>
      <c r="D696" s="2">
        <v>1374559.97</v>
      </c>
      <c r="E696" s="2">
        <v>8862457.9299999997</v>
      </c>
      <c r="F696" s="2">
        <v>8585837.2400000002</v>
      </c>
      <c r="G696" s="2">
        <v>2525202.21</v>
      </c>
    </row>
    <row r="697" spans="1:7" x14ac:dyDescent="0.25">
      <c r="A697" s="1">
        <v>44986</v>
      </c>
      <c r="B697" t="s">
        <v>37</v>
      </c>
      <c r="C697" t="s">
        <v>268</v>
      </c>
      <c r="D697" s="2">
        <v>45098108.590000004</v>
      </c>
      <c r="E697" s="2">
        <v>133874639.40000001</v>
      </c>
      <c r="F697" s="2">
        <v>134742555.08000001</v>
      </c>
      <c r="G697" s="2">
        <v>2935020.08</v>
      </c>
    </row>
    <row r="698" spans="1:7" x14ac:dyDescent="0.25">
      <c r="A698" s="1">
        <v>44986</v>
      </c>
      <c r="B698" t="s">
        <v>37</v>
      </c>
      <c r="C698" t="s">
        <v>269</v>
      </c>
      <c r="D698" s="2">
        <v>4621271.29</v>
      </c>
      <c r="E698" s="2">
        <v>5604034.0099999998</v>
      </c>
      <c r="F698" s="2">
        <v>5569380.1799999997</v>
      </c>
      <c r="G698" s="2">
        <v>2048078.63</v>
      </c>
    </row>
    <row r="699" spans="1:7" x14ac:dyDescent="0.25">
      <c r="A699" s="1">
        <v>44986</v>
      </c>
      <c r="B699" t="s">
        <v>37</v>
      </c>
      <c r="C699" t="s">
        <v>270</v>
      </c>
      <c r="D699" s="2">
        <v>11306094.73</v>
      </c>
      <c r="E699" s="2">
        <v>85733219.75</v>
      </c>
      <c r="F699" s="2">
        <v>87527955.209999993</v>
      </c>
      <c r="G699" s="2">
        <v>7912649.2599999998</v>
      </c>
    </row>
    <row r="700" spans="1:7" x14ac:dyDescent="0.25">
      <c r="A700" s="1">
        <v>44986</v>
      </c>
      <c r="B700" t="s">
        <v>37</v>
      </c>
      <c r="C700" t="s">
        <v>271</v>
      </c>
      <c r="D700" s="2">
        <v>4703646.3099999996</v>
      </c>
      <c r="E700" s="2">
        <v>44167483.520000003</v>
      </c>
      <c r="F700" s="2">
        <v>50798336.740000002</v>
      </c>
      <c r="G700" s="2">
        <v>16130081.4</v>
      </c>
    </row>
    <row r="701" spans="1:7" x14ac:dyDescent="0.25">
      <c r="A701" s="1">
        <v>44986</v>
      </c>
      <c r="B701" t="s">
        <v>37</v>
      </c>
      <c r="C701" t="s">
        <v>272</v>
      </c>
      <c r="D701" s="2">
        <v>610090.02</v>
      </c>
      <c r="E701" s="2">
        <v>176864.33</v>
      </c>
      <c r="F701" s="2">
        <v>158002.41</v>
      </c>
      <c r="G701" s="2">
        <v>293620</v>
      </c>
    </row>
    <row r="702" spans="1:7" x14ac:dyDescent="0.25">
      <c r="A702" s="1">
        <v>44986</v>
      </c>
      <c r="B702" t="s">
        <v>37</v>
      </c>
      <c r="C702" t="s">
        <v>273</v>
      </c>
      <c r="D702" s="2">
        <v>2811567.31</v>
      </c>
      <c r="E702" s="2">
        <v>8956342.4499999993</v>
      </c>
      <c r="F702" s="2">
        <v>9007709.3699999992</v>
      </c>
      <c r="G702" s="2">
        <v>1311686.32</v>
      </c>
    </row>
    <row r="703" spans="1:7" x14ac:dyDescent="0.25">
      <c r="A703" s="1">
        <v>44986</v>
      </c>
      <c r="B703" t="s">
        <v>37</v>
      </c>
      <c r="C703" t="s">
        <v>274</v>
      </c>
      <c r="D703" s="2">
        <v>3455913.12</v>
      </c>
      <c r="E703" s="2">
        <v>16163824.34</v>
      </c>
      <c r="F703" s="2">
        <v>16581196.300000001</v>
      </c>
      <c r="G703" s="2">
        <v>3573461.4</v>
      </c>
    </row>
    <row r="704" spans="1:7" x14ac:dyDescent="0.25">
      <c r="A704" s="1">
        <v>44986</v>
      </c>
      <c r="B704" t="s">
        <v>37</v>
      </c>
      <c r="C704" t="s">
        <v>275</v>
      </c>
      <c r="D704" s="2">
        <v>18992082.899999999</v>
      </c>
      <c r="E704" s="2">
        <v>148374924.81999999</v>
      </c>
      <c r="F704" s="2">
        <v>153487848.53999999</v>
      </c>
      <c r="G704" s="2">
        <v>10612529.560000001</v>
      </c>
    </row>
    <row r="705" spans="1:7" x14ac:dyDescent="0.25">
      <c r="A705" s="1">
        <v>44986</v>
      </c>
      <c r="B705" t="s">
        <v>37</v>
      </c>
      <c r="C705" t="s">
        <v>276</v>
      </c>
      <c r="D705" s="2">
        <v>-16913581.18</v>
      </c>
      <c r="E705" s="2">
        <v>118316599.37</v>
      </c>
      <c r="F705" s="2">
        <v>123349180.45999999</v>
      </c>
      <c r="G705" s="2">
        <v>9050738.7899999991</v>
      </c>
    </row>
    <row r="706" spans="1:7" x14ac:dyDescent="0.25">
      <c r="A706" s="1">
        <v>44986</v>
      </c>
      <c r="B706" t="s">
        <v>37</v>
      </c>
      <c r="C706" t="s">
        <v>277</v>
      </c>
      <c r="D706" s="2">
        <v>5112906.0599999996</v>
      </c>
      <c r="E706" s="2">
        <v>26511488.02</v>
      </c>
      <c r="F706" s="2">
        <v>26362110.809999999</v>
      </c>
      <c r="G706" s="2">
        <v>5509875.1200000001</v>
      </c>
    </row>
    <row r="707" spans="1:7" x14ac:dyDescent="0.25">
      <c r="A707" s="1">
        <v>44986</v>
      </c>
      <c r="B707" t="s">
        <v>37</v>
      </c>
      <c r="C707" t="s">
        <v>278</v>
      </c>
      <c r="D707" s="2">
        <v>39946631.140000001</v>
      </c>
      <c r="E707" s="2">
        <v>303100523.94</v>
      </c>
      <c r="F707" s="2">
        <v>325056347.50999999</v>
      </c>
      <c r="G707" s="2">
        <v>16730201.529999999</v>
      </c>
    </row>
    <row r="708" spans="1:7" x14ac:dyDescent="0.25">
      <c r="A708" s="1">
        <v>44986</v>
      </c>
      <c r="B708" t="s">
        <v>37</v>
      </c>
      <c r="C708" t="s">
        <v>279</v>
      </c>
      <c r="D708" s="2">
        <v>887963.34</v>
      </c>
      <c r="E708" s="2">
        <v>43664334.280000001</v>
      </c>
      <c r="F708" s="2">
        <v>50624069.479999997</v>
      </c>
      <c r="G708" s="2">
        <v>1883677.63</v>
      </c>
    </row>
    <row r="709" spans="1:7" x14ac:dyDescent="0.25">
      <c r="A709" s="1">
        <v>44986</v>
      </c>
      <c r="B709" t="s">
        <v>37</v>
      </c>
      <c r="C709" t="s">
        <v>280</v>
      </c>
      <c r="D709" s="2">
        <v>12652291.039999999</v>
      </c>
      <c r="E709" s="2">
        <v>147327938.49000001</v>
      </c>
      <c r="F709" s="2">
        <v>141174108.49000001</v>
      </c>
      <c r="G709" s="2">
        <v>15088706.98</v>
      </c>
    </row>
    <row r="710" spans="1:7" x14ac:dyDescent="0.25">
      <c r="A710" s="1">
        <v>44986</v>
      </c>
      <c r="B710" t="s">
        <v>37</v>
      </c>
      <c r="C710" t="s">
        <v>281</v>
      </c>
      <c r="D710" s="2">
        <v>35537944.57</v>
      </c>
      <c r="E710" s="2">
        <v>161702397.22999999</v>
      </c>
      <c r="F710" s="2">
        <v>160788596.44999999</v>
      </c>
      <c r="G710" s="2">
        <v>14409354.75</v>
      </c>
    </row>
    <row r="711" spans="1:7" x14ac:dyDescent="0.25">
      <c r="A711" s="1">
        <v>44986</v>
      </c>
      <c r="B711" t="s">
        <v>37</v>
      </c>
      <c r="C711" t="s">
        <v>282</v>
      </c>
      <c r="D711" s="2">
        <v>-4976520.8</v>
      </c>
      <c r="E711" s="2">
        <v>8449518.7100000009</v>
      </c>
      <c r="F711" s="2">
        <v>9048811.6999999993</v>
      </c>
      <c r="G711" s="2">
        <v>634317.92000000004</v>
      </c>
    </row>
    <row r="712" spans="1:7" x14ac:dyDescent="0.25">
      <c r="A712" s="1">
        <v>44986</v>
      </c>
      <c r="B712" t="s">
        <v>37</v>
      </c>
      <c r="C712" t="s">
        <v>283</v>
      </c>
      <c r="D712" s="2">
        <v>-1997150.83</v>
      </c>
      <c r="E712" s="2">
        <v>11754996.779999999</v>
      </c>
      <c r="F712" s="2">
        <v>12077360.15</v>
      </c>
      <c r="G712" s="2">
        <v>1847514.35</v>
      </c>
    </row>
    <row r="713" spans="1:7" x14ac:dyDescent="0.25">
      <c r="A713" s="1">
        <v>44986</v>
      </c>
      <c r="B713" t="s">
        <v>37</v>
      </c>
      <c r="C713" t="s">
        <v>284</v>
      </c>
      <c r="D713" s="2">
        <v>8026876.6600000001</v>
      </c>
      <c r="E713" s="2">
        <v>41498677.829999998</v>
      </c>
      <c r="F713" s="2">
        <v>44069347.479999997</v>
      </c>
      <c r="G713" s="2">
        <v>5281991.97</v>
      </c>
    </row>
    <row r="714" spans="1:7" x14ac:dyDescent="0.25">
      <c r="A714" s="1">
        <v>44986</v>
      </c>
      <c r="B714" t="s">
        <v>37</v>
      </c>
      <c r="C714" t="s">
        <v>285</v>
      </c>
      <c r="D714" s="2">
        <v>3838648.68</v>
      </c>
      <c r="E714" s="2">
        <v>23899305.739999998</v>
      </c>
      <c r="F714" s="2">
        <v>23966288.379999999</v>
      </c>
      <c r="G714" s="2">
        <v>3810444.1</v>
      </c>
    </row>
    <row r="715" spans="1:7" x14ac:dyDescent="0.25">
      <c r="A715" s="1">
        <v>44986</v>
      </c>
      <c r="B715" t="s">
        <v>37</v>
      </c>
      <c r="C715" t="s">
        <v>286</v>
      </c>
      <c r="D715" s="2">
        <v>179157170.50999999</v>
      </c>
      <c r="E715" s="2">
        <v>177818632</v>
      </c>
      <c r="F715" s="2">
        <v>184579548.09</v>
      </c>
      <c r="G715" s="2">
        <v>14505900.76</v>
      </c>
    </row>
    <row r="716" spans="1:7" x14ac:dyDescent="0.25">
      <c r="A716" s="1">
        <v>44986</v>
      </c>
      <c r="B716" t="s">
        <v>37</v>
      </c>
      <c r="C716" t="s">
        <v>287</v>
      </c>
      <c r="D716" s="2">
        <v>35445012.530000001</v>
      </c>
      <c r="E716" s="2">
        <v>20564634.050000001</v>
      </c>
      <c r="F716" s="2">
        <v>20112170.02</v>
      </c>
      <c r="G716" s="2">
        <v>3831202.34</v>
      </c>
    </row>
    <row r="717" spans="1:7" x14ac:dyDescent="0.25">
      <c r="A717" s="1">
        <v>44986</v>
      </c>
      <c r="B717" t="s">
        <v>37</v>
      </c>
      <c r="C717" t="s">
        <v>288</v>
      </c>
      <c r="D717" s="2">
        <v>24574439.399999999</v>
      </c>
      <c r="E717" s="2">
        <v>52922958.700000003</v>
      </c>
      <c r="F717" s="2">
        <v>52904291.890000001</v>
      </c>
      <c r="G717" s="2">
        <v>3426412.98</v>
      </c>
    </row>
    <row r="718" spans="1:7" x14ac:dyDescent="0.25">
      <c r="A718" s="1">
        <v>44986</v>
      </c>
      <c r="B718" t="s">
        <v>37</v>
      </c>
      <c r="C718" t="s">
        <v>289</v>
      </c>
      <c r="D718" s="2">
        <v>557825.04</v>
      </c>
      <c r="E718" s="2">
        <v>55102167.539999999</v>
      </c>
      <c r="F718" s="2">
        <v>57454382.07</v>
      </c>
      <c r="G718" s="2">
        <v>3128037.36</v>
      </c>
    </row>
    <row r="719" spans="1:7" x14ac:dyDescent="0.25">
      <c r="A719" s="1">
        <v>44986</v>
      </c>
      <c r="B719" t="s">
        <v>37</v>
      </c>
      <c r="C719" t="s">
        <v>290</v>
      </c>
      <c r="D719" s="2">
        <v>3988994.83</v>
      </c>
      <c r="E719" s="2">
        <v>25061983.5</v>
      </c>
      <c r="F719" s="2">
        <v>24071142.52</v>
      </c>
      <c r="G719" s="2">
        <v>5375549.5099999998</v>
      </c>
    </row>
    <row r="720" spans="1:7" x14ac:dyDescent="0.25">
      <c r="A720" s="1">
        <v>44986</v>
      </c>
      <c r="B720" t="s">
        <v>37</v>
      </c>
      <c r="C720" t="s">
        <v>291</v>
      </c>
      <c r="D720" s="2">
        <v>7735462.7800000003</v>
      </c>
      <c r="E720" s="2">
        <v>74954119.950000003</v>
      </c>
      <c r="F720" s="2">
        <v>76069322.650000006</v>
      </c>
      <c r="G720" s="2">
        <v>13014878.800000001</v>
      </c>
    </row>
    <row r="721" spans="1:7" x14ac:dyDescent="0.25">
      <c r="A721" s="1">
        <v>44986</v>
      </c>
      <c r="B721" t="s">
        <v>19</v>
      </c>
      <c r="C721" t="s">
        <v>292</v>
      </c>
      <c r="D721" s="2">
        <v>85780403.760000005</v>
      </c>
      <c r="E721" s="2">
        <v>15799994.130000001</v>
      </c>
      <c r="F721" s="2">
        <v>13789445.560000001</v>
      </c>
      <c r="G721" s="2">
        <v>18720579.039999999</v>
      </c>
    </row>
    <row r="722" spans="1:7" x14ac:dyDescent="0.25">
      <c r="A722" s="1">
        <v>45017</v>
      </c>
      <c r="B722" t="s">
        <v>7</v>
      </c>
      <c r="C722" t="s">
        <v>8</v>
      </c>
      <c r="D722" s="2">
        <v>313083005.32999998</v>
      </c>
      <c r="E722" s="2">
        <v>314669151.38</v>
      </c>
      <c r="F722" s="2">
        <v>300251234.44999999</v>
      </c>
      <c r="G722" s="2">
        <v>4329834.1500000004</v>
      </c>
    </row>
    <row r="723" spans="1:7" x14ac:dyDescent="0.25">
      <c r="A723" s="1">
        <v>45017</v>
      </c>
      <c r="B723" t="s">
        <v>9</v>
      </c>
      <c r="C723" t="s">
        <v>10</v>
      </c>
      <c r="D723" s="2">
        <v>2082774.28</v>
      </c>
      <c r="E723" s="2">
        <v>1380666.52</v>
      </c>
      <c r="F723" s="2">
        <v>1390591.36</v>
      </c>
      <c r="G723" s="2">
        <v>1888427.29</v>
      </c>
    </row>
    <row r="724" spans="1:7" x14ac:dyDescent="0.25">
      <c r="A724" s="1">
        <v>45017</v>
      </c>
      <c r="B724" t="s">
        <v>11</v>
      </c>
      <c r="C724" t="s">
        <v>12</v>
      </c>
      <c r="D724" s="2">
        <v>55262509.090000004</v>
      </c>
      <c r="E724" s="2">
        <v>37249463.060000002</v>
      </c>
      <c r="F724" s="2">
        <v>38252961.020000003</v>
      </c>
      <c r="G724" s="2">
        <v>231089.41</v>
      </c>
    </row>
    <row r="725" spans="1:7" x14ac:dyDescent="0.25">
      <c r="A725" s="1">
        <v>45017</v>
      </c>
      <c r="B725" t="s">
        <v>13</v>
      </c>
      <c r="C725" t="s">
        <v>14</v>
      </c>
      <c r="D725" s="2">
        <v>66808158.560000002</v>
      </c>
      <c r="E725" s="2">
        <v>305024718.38</v>
      </c>
      <c r="F725" s="2">
        <v>303490018.14999998</v>
      </c>
      <c r="G725" s="2">
        <v>3039432.41</v>
      </c>
    </row>
    <row r="726" spans="1:7" x14ac:dyDescent="0.25">
      <c r="A726" s="1">
        <v>45017</v>
      </c>
      <c r="B726" t="s">
        <v>13</v>
      </c>
      <c r="C726" t="s">
        <v>15</v>
      </c>
      <c r="D726" s="2">
        <v>46705334.259999998</v>
      </c>
      <c r="E726" s="2">
        <v>386686455.74000001</v>
      </c>
      <c r="F726" s="2">
        <v>387004523.76999998</v>
      </c>
      <c r="G726" s="2">
        <v>76196243.040000007</v>
      </c>
    </row>
    <row r="727" spans="1:7" x14ac:dyDescent="0.25">
      <c r="A727" s="1">
        <v>45017</v>
      </c>
      <c r="B727" t="s">
        <v>16</v>
      </c>
      <c r="C727" t="s">
        <v>17</v>
      </c>
      <c r="D727" s="2">
        <v>4704113.8600000003</v>
      </c>
      <c r="E727" s="2">
        <v>20703014.280000001</v>
      </c>
      <c r="F727" s="2">
        <v>21683088.539999999</v>
      </c>
      <c r="G727" s="2">
        <v>15183.56</v>
      </c>
    </row>
    <row r="728" spans="1:7" x14ac:dyDescent="0.25">
      <c r="A728" s="1">
        <v>45017</v>
      </c>
      <c r="B728" t="s">
        <v>11</v>
      </c>
      <c r="C728" t="s">
        <v>18</v>
      </c>
      <c r="D728" s="2">
        <v>13263884.439999999</v>
      </c>
      <c r="E728" s="2">
        <v>11435883.58</v>
      </c>
      <c r="F728" s="2">
        <v>12363491.210000001</v>
      </c>
      <c r="G728" s="2">
        <v>457393.91999999998</v>
      </c>
    </row>
    <row r="729" spans="1:7" x14ac:dyDescent="0.25">
      <c r="A729" s="1">
        <v>45017</v>
      </c>
      <c r="B729" t="s">
        <v>19</v>
      </c>
      <c r="C729" t="s">
        <v>20</v>
      </c>
      <c r="D729" s="2">
        <v>158468512.58000001</v>
      </c>
      <c r="E729" s="2">
        <v>32873219.649999999</v>
      </c>
      <c r="F729" s="2">
        <v>39461783.43</v>
      </c>
      <c r="G729" s="2">
        <v>7278842.7699999996</v>
      </c>
    </row>
    <row r="730" spans="1:7" x14ac:dyDescent="0.25">
      <c r="A730" s="1">
        <v>45017</v>
      </c>
      <c r="B730" t="s">
        <v>16</v>
      </c>
      <c r="C730" t="s">
        <v>21</v>
      </c>
      <c r="D730" s="2">
        <v>40118693.479999997</v>
      </c>
      <c r="E730" s="2">
        <v>54787268.5</v>
      </c>
      <c r="F730" s="2">
        <v>55286106.25</v>
      </c>
      <c r="G730" s="2">
        <v>1330810.98</v>
      </c>
    </row>
    <row r="731" spans="1:7" x14ac:dyDescent="0.25">
      <c r="A731" s="1">
        <v>45017</v>
      </c>
      <c r="B731" t="s">
        <v>22</v>
      </c>
      <c r="C731" t="s">
        <v>23</v>
      </c>
      <c r="D731" s="2">
        <v>30896423.640000001</v>
      </c>
      <c r="E731" s="2">
        <v>14970444.32</v>
      </c>
      <c r="F731" s="2">
        <v>13365876.810000001</v>
      </c>
      <c r="G731" s="2">
        <v>5728240.9800000004</v>
      </c>
    </row>
    <row r="732" spans="1:7" x14ac:dyDescent="0.25">
      <c r="A732" s="1">
        <v>45017</v>
      </c>
      <c r="B732" t="s">
        <v>24</v>
      </c>
      <c r="C732" t="s">
        <v>25</v>
      </c>
      <c r="D732" s="2">
        <v>10182685.42</v>
      </c>
      <c r="E732" s="2">
        <v>10176401.77</v>
      </c>
      <c r="F732" s="2">
        <v>10077316.52</v>
      </c>
      <c r="G732" s="2">
        <v>380951903.68000001</v>
      </c>
    </row>
    <row r="733" spans="1:7" x14ac:dyDescent="0.25">
      <c r="A733" s="1">
        <v>45017</v>
      </c>
      <c r="B733" t="s">
        <v>13</v>
      </c>
      <c r="C733" t="s">
        <v>26</v>
      </c>
      <c r="D733" s="2">
        <v>3019076717.5500002</v>
      </c>
      <c r="E733" s="2">
        <v>2892659310.8200002</v>
      </c>
      <c r="F733" s="2">
        <v>2896725350.6399999</v>
      </c>
      <c r="G733" s="2">
        <v>5625026.6600000001</v>
      </c>
    </row>
    <row r="734" spans="1:7" x14ac:dyDescent="0.25">
      <c r="A734" s="1">
        <v>45017</v>
      </c>
      <c r="B734" t="s">
        <v>27</v>
      </c>
      <c r="C734" t="s">
        <v>28</v>
      </c>
      <c r="D734" s="2">
        <v>320390985.12</v>
      </c>
      <c r="E734" s="2">
        <v>39972731.759999998</v>
      </c>
      <c r="F734" s="2">
        <v>39758494.630000003</v>
      </c>
      <c r="G734" s="2">
        <v>1361504.06</v>
      </c>
    </row>
    <row r="735" spans="1:7" x14ac:dyDescent="0.25">
      <c r="A735" s="1">
        <v>45017</v>
      </c>
      <c r="B735" t="s">
        <v>29</v>
      </c>
      <c r="C735" t="s">
        <v>30</v>
      </c>
      <c r="D735" s="2">
        <v>883856.76</v>
      </c>
      <c r="E735" s="2">
        <v>27705502.010000002</v>
      </c>
      <c r="F735" s="2">
        <v>26715853.949999999</v>
      </c>
      <c r="G735" s="2">
        <v>4244478.46</v>
      </c>
    </row>
    <row r="736" spans="1:7" x14ac:dyDescent="0.25">
      <c r="A736" s="1">
        <v>45017</v>
      </c>
      <c r="B736" t="s">
        <v>31</v>
      </c>
      <c r="C736" t="s">
        <v>32</v>
      </c>
      <c r="D736" s="2">
        <v>344008.78</v>
      </c>
      <c r="E736" s="2">
        <v>259534.02</v>
      </c>
      <c r="F736" s="2">
        <v>199858.74</v>
      </c>
      <c r="G736" s="2">
        <v>228262.02</v>
      </c>
    </row>
    <row r="737" spans="1:7" x14ac:dyDescent="0.25">
      <c r="A737" s="1">
        <v>45017</v>
      </c>
      <c r="B737" t="s">
        <v>33</v>
      </c>
      <c r="C737" t="s">
        <v>34</v>
      </c>
      <c r="D737" s="2">
        <v>400252199.49000001</v>
      </c>
      <c r="E737" s="2">
        <v>386042513.98000002</v>
      </c>
      <c r="F737" s="2">
        <v>291956704.81</v>
      </c>
      <c r="G737" s="2">
        <v>2557818.11</v>
      </c>
    </row>
    <row r="738" spans="1:7" x14ac:dyDescent="0.25">
      <c r="A738" s="1">
        <v>45017</v>
      </c>
      <c r="B738" t="s">
        <v>29</v>
      </c>
      <c r="C738" t="s">
        <v>35</v>
      </c>
      <c r="D738" s="2">
        <v>3973961.8</v>
      </c>
      <c r="E738" s="2">
        <v>8659463.8900000006</v>
      </c>
      <c r="F738" s="2">
        <v>8696277.7799999993</v>
      </c>
      <c r="G738" s="2">
        <v>12862194.83</v>
      </c>
    </row>
    <row r="739" spans="1:7" x14ac:dyDescent="0.25">
      <c r="A739" s="1">
        <v>45017</v>
      </c>
      <c r="B739" t="s">
        <v>29</v>
      </c>
      <c r="C739" t="s">
        <v>36</v>
      </c>
      <c r="D739" s="2">
        <v>540742.99</v>
      </c>
      <c r="E739" s="2">
        <v>414999.17</v>
      </c>
      <c r="F739" s="2">
        <v>411946.99</v>
      </c>
      <c r="G739" s="2">
        <v>35533.07</v>
      </c>
    </row>
    <row r="740" spans="1:7" x14ac:dyDescent="0.25">
      <c r="A740" s="1">
        <v>45017</v>
      </c>
      <c r="B740" t="s">
        <v>37</v>
      </c>
      <c r="C740" t="s">
        <v>38</v>
      </c>
      <c r="D740" s="2">
        <v>1363136.2</v>
      </c>
      <c r="E740" s="2">
        <v>32180752.84</v>
      </c>
      <c r="F740" s="2">
        <v>32021704.66</v>
      </c>
      <c r="G740" s="2">
        <v>1388259.64</v>
      </c>
    </row>
    <row r="741" spans="1:7" x14ac:dyDescent="0.25">
      <c r="A741" s="1">
        <v>45017</v>
      </c>
      <c r="B741" t="s">
        <v>37</v>
      </c>
      <c r="C741" t="s">
        <v>39</v>
      </c>
      <c r="D741" s="2">
        <v>18468318.140000001</v>
      </c>
      <c r="E741" s="2">
        <v>41270119.450000003</v>
      </c>
      <c r="F741" s="2">
        <v>39276816.359999999</v>
      </c>
      <c r="G741" s="2">
        <v>2522928.02</v>
      </c>
    </row>
    <row r="742" spans="1:7" x14ac:dyDescent="0.25">
      <c r="A742" s="1">
        <v>45017</v>
      </c>
      <c r="B742" t="s">
        <v>9</v>
      </c>
      <c r="C742" t="s">
        <v>40</v>
      </c>
      <c r="D742" s="2">
        <v>-192649.23</v>
      </c>
      <c r="E742" s="2">
        <v>2894715.38</v>
      </c>
      <c r="F742" s="2">
        <v>2878877.36</v>
      </c>
      <c r="G742" s="2">
        <v>362639.35</v>
      </c>
    </row>
    <row r="743" spans="1:7" x14ac:dyDescent="0.25">
      <c r="A743" s="1">
        <v>45017</v>
      </c>
      <c r="B743" t="s">
        <v>37</v>
      </c>
      <c r="C743" t="s">
        <v>41</v>
      </c>
      <c r="D743" s="2">
        <v>10212446.85</v>
      </c>
      <c r="E743" s="2">
        <v>54303510.009999998</v>
      </c>
      <c r="F743" s="2">
        <v>53368574.369999997</v>
      </c>
      <c r="G743" s="2">
        <v>1982316.42</v>
      </c>
    </row>
    <row r="744" spans="1:7" x14ac:dyDescent="0.25">
      <c r="A744" s="1">
        <v>45017</v>
      </c>
      <c r="B744" t="s">
        <v>29</v>
      </c>
      <c r="C744" t="s">
        <v>42</v>
      </c>
      <c r="D744" s="2">
        <v>4045497088.3800001</v>
      </c>
      <c r="E744" s="2">
        <v>2069764900.8599999</v>
      </c>
      <c r="F744" s="2">
        <v>2076340689.71</v>
      </c>
      <c r="G744" s="2">
        <v>193912592.65000001</v>
      </c>
    </row>
    <row r="745" spans="1:7" x14ac:dyDescent="0.25">
      <c r="A745" s="1">
        <v>45017</v>
      </c>
      <c r="B745" t="s">
        <v>29</v>
      </c>
      <c r="C745" t="s">
        <v>43</v>
      </c>
      <c r="D745" s="2">
        <v>1513662234.46</v>
      </c>
      <c r="E745" s="2">
        <v>2163627408.9899998</v>
      </c>
      <c r="F745" s="2">
        <v>2121438573.23</v>
      </c>
      <c r="G745" s="2">
        <v>98152625.879999995</v>
      </c>
    </row>
    <row r="746" spans="1:7" x14ac:dyDescent="0.25">
      <c r="A746" s="1">
        <v>45017</v>
      </c>
      <c r="B746" t="s">
        <v>29</v>
      </c>
      <c r="C746" t="s">
        <v>44</v>
      </c>
      <c r="D746" s="2">
        <v>446125175.10000002</v>
      </c>
      <c r="E746" s="2">
        <v>3788483189.1700001</v>
      </c>
      <c r="F746" s="2">
        <v>3994897676.4499998</v>
      </c>
      <c r="G746" s="2">
        <v>262598245.09999999</v>
      </c>
    </row>
    <row r="747" spans="1:7" x14ac:dyDescent="0.25">
      <c r="A747" s="1">
        <v>45017</v>
      </c>
      <c r="B747" t="s">
        <v>45</v>
      </c>
      <c r="C747" t="s">
        <v>46</v>
      </c>
      <c r="D747" s="2">
        <v>9624709.2699999996</v>
      </c>
      <c r="E747" s="2">
        <v>16216145.49</v>
      </c>
      <c r="F747" s="2">
        <v>18132487.010000002</v>
      </c>
      <c r="G747" s="2">
        <v>614302.26</v>
      </c>
    </row>
    <row r="748" spans="1:7" x14ac:dyDescent="0.25">
      <c r="A748" s="1">
        <v>45017</v>
      </c>
      <c r="B748" t="s">
        <v>9</v>
      </c>
      <c r="C748" t="s">
        <v>47</v>
      </c>
      <c r="D748" s="2">
        <v>11509108.630000001</v>
      </c>
      <c r="E748" s="2">
        <v>70688761.709999993</v>
      </c>
      <c r="F748" s="2">
        <v>69167818.329999998</v>
      </c>
      <c r="G748" s="2">
        <v>19386440.629999999</v>
      </c>
    </row>
    <row r="749" spans="1:7" x14ac:dyDescent="0.25">
      <c r="A749" s="1">
        <v>45017</v>
      </c>
      <c r="B749" t="s">
        <v>48</v>
      </c>
      <c r="C749" t="s">
        <v>49</v>
      </c>
      <c r="D749" s="2">
        <v>-26998875.75</v>
      </c>
      <c r="E749" s="2">
        <v>82407646.870000005</v>
      </c>
      <c r="F749" s="2">
        <v>84355401.769999996</v>
      </c>
      <c r="G749" s="2">
        <v>6784962.1699999999</v>
      </c>
    </row>
    <row r="750" spans="1:7" x14ac:dyDescent="0.25">
      <c r="A750" s="1">
        <v>45017</v>
      </c>
      <c r="B750" t="s">
        <v>50</v>
      </c>
      <c r="C750" t="s">
        <v>51</v>
      </c>
      <c r="D750" s="2">
        <v>113668929.58</v>
      </c>
      <c r="E750" s="2">
        <v>50177788.240000002</v>
      </c>
      <c r="F750" s="2">
        <v>55044926.07</v>
      </c>
      <c r="G750" s="2">
        <v>401582497.99000001</v>
      </c>
    </row>
    <row r="751" spans="1:7" x14ac:dyDescent="0.25">
      <c r="A751" s="1">
        <v>45017</v>
      </c>
      <c r="B751" t="s">
        <v>13</v>
      </c>
      <c r="C751" t="s">
        <v>52</v>
      </c>
      <c r="D751" s="2">
        <v>70309266.549999997</v>
      </c>
      <c r="E751" s="2">
        <v>38219147.219999999</v>
      </c>
      <c r="F751" s="2">
        <v>43816078.049999997</v>
      </c>
      <c r="G751" s="2">
        <v>5281659.59</v>
      </c>
    </row>
    <row r="752" spans="1:7" x14ac:dyDescent="0.25">
      <c r="A752" s="1">
        <v>45017</v>
      </c>
      <c r="B752" t="s">
        <v>53</v>
      </c>
      <c r="C752" t="s">
        <v>54</v>
      </c>
      <c r="D752" s="2">
        <v>543553868.11000001</v>
      </c>
      <c r="E752" s="2">
        <v>88501222.099999994</v>
      </c>
      <c r="F752" s="2">
        <v>89072818.469999999</v>
      </c>
      <c r="G752" s="2">
        <v>13702736.949999999</v>
      </c>
    </row>
    <row r="753" spans="1:7" x14ac:dyDescent="0.25">
      <c r="A753" s="1">
        <v>45017</v>
      </c>
      <c r="B753" t="s">
        <v>31</v>
      </c>
      <c r="C753" t="s">
        <v>55</v>
      </c>
      <c r="D753" s="2">
        <v>34582259.670000002</v>
      </c>
      <c r="E753" s="2">
        <v>3067256.93</v>
      </c>
      <c r="F753" s="2">
        <v>3260170.29</v>
      </c>
      <c r="G753" s="2">
        <v>708814.58</v>
      </c>
    </row>
    <row r="754" spans="1:7" x14ac:dyDescent="0.25">
      <c r="A754" s="1">
        <v>45017</v>
      </c>
      <c r="B754" t="s">
        <v>9</v>
      </c>
      <c r="C754" t="s">
        <v>56</v>
      </c>
      <c r="D754" s="2">
        <v>106929201.45999999</v>
      </c>
      <c r="E754" s="2">
        <v>160817137.06999999</v>
      </c>
      <c r="F754" s="2">
        <v>105522346.7</v>
      </c>
      <c r="G754" s="2">
        <v>34860353.960000001</v>
      </c>
    </row>
    <row r="755" spans="1:7" x14ac:dyDescent="0.25">
      <c r="A755" s="1">
        <v>45017</v>
      </c>
      <c r="B755" t="s">
        <v>57</v>
      </c>
      <c r="C755" t="s">
        <v>58</v>
      </c>
      <c r="D755" s="2">
        <v>36611188.090000004</v>
      </c>
      <c r="E755" s="2">
        <v>93995107.170000002</v>
      </c>
      <c r="F755" s="2">
        <v>94430336.659999996</v>
      </c>
      <c r="G755" s="2">
        <v>587049.86</v>
      </c>
    </row>
    <row r="756" spans="1:7" x14ac:dyDescent="0.25">
      <c r="A756" s="1">
        <v>45017</v>
      </c>
      <c r="B756" t="s">
        <v>19</v>
      </c>
      <c r="C756" t="s">
        <v>59</v>
      </c>
      <c r="D756" s="2">
        <v>2806303186.9499998</v>
      </c>
      <c r="E756" s="2">
        <v>394049764.87</v>
      </c>
      <c r="F756" s="2">
        <v>366280409.23000002</v>
      </c>
      <c r="G756" s="2">
        <v>504621559.57999998</v>
      </c>
    </row>
    <row r="757" spans="1:7" x14ac:dyDescent="0.25">
      <c r="A757" s="1">
        <v>45017</v>
      </c>
      <c r="B757" t="s">
        <v>50</v>
      </c>
      <c r="C757" t="s">
        <v>60</v>
      </c>
      <c r="D757" s="2">
        <v>61609320.240000002</v>
      </c>
      <c r="E757" s="2">
        <v>67222325.329999998</v>
      </c>
      <c r="F757" s="2">
        <v>64183428.600000001</v>
      </c>
      <c r="G757" s="2">
        <v>48843229.780000001</v>
      </c>
    </row>
    <row r="758" spans="1:7" x14ac:dyDescent="0.25">
      <c r="A758" s="1">
        <v>45017</v>
      </c>
      <c r="B758" t="s">
        <v>61</v>
      </c>
      <c r="C758" t="s">
        <v>62</v>
      </c>
      <c r="D758" s="2">
        <v>23245243.850000001</v>
      </c>
      <c r="E758" s="2">
        <v>39392190.920000002</v>
      </c>
      <c r="F758" s="2">
        <v>39426577.420000002</v>
      </c>
      <c r="G758" s="2">
        <v>2190926.87</v>
      </c>
    </row>
    <row r="759" spans="1:7" x14ac:dyDescent="0.25">
      <c r="A759" s="1">
        <v>45017</v>
      </c>
      <c r="B759" t="s">
        <v>63</v>
      </c>
      <c r="C759" t="s">
        <v>64</v>
      </c>
      <c r="D759" s="2">
        <v>29258439.300000001</v>
      </c>
      <c r="E759" s="2">
        <v>558629757.46000004</v>
      </c>
      <c r="F759" s="2">
        <v>231772354.31999999</v>
      </c>
      <c r="G759" s="2">
        <v>33068617.780000001</v>
      </c>
    </row>
    <row r="760" spans="1:7" x14ac:dyDescent="0.25">
      <c r="A760" s="1">
        <v>45017</v>
      </c>
      <c r="B760" t="s">
        <v>37</v>
      </c>
      <c r="C760" t="s">
        <v>65</v>
      </c>
      <c r="D760" s="2">
        <v>254572303.78</v>
      </c>
      <c r="E760" s="2">
        <v>694296150.58000004</v>
      </c>
      <c r="F760" s="2">
        <v>613711457.14999998</v>
      </c>
      <c r="G760" s="2">
        <v>43102481.310000002</v>
      </c>
    </row>
    <row r="761" spans="1:7" x14ac:dyDescent="0.25">
      <c r="A761" s="1">
        <v>45017</v>
      </c>
      <c r="B761" t="s">
        <v>13</v>
      </c>
      <c r="C761" t="s">
        <v>66</v>
      </c>
      <c r="D761" s="2">
        <v>19157303.289999999</v>
      </c>
      <c r="E761" s="2">
        <v>8508835.0299999993</v>
      </c>
      <c r="F761" s="2">
        <v>8785924.4499999993</v>
      </c>
      <c r="G761" s="2">
        <v>24758.75</v>
      </c>
    </row>
    <row r="762" spans="1:7" x14ac:dyDescent="0.25">
      <c r="A762" s="1">
        <v>45017</v>
      </c>
      <c r="B762" t="s">
        <v>48</v>
      </c>
      <c r="C762" t="s">
        <v>67</v>
      </c>
      <c r="D762" s="2">
        <v>25662247.73</v>
      </c>
      <c r="E762" s="2">
        <v>23723359.75</v>
      </c>
      <c r="F762" s="2">
        <v>21774639.449999999</v>
      </c>
      <c r="G762" s="2">
        <v>1787175.89</v>
      </c>
    </row>
    <row r="763" spans="1:7" x14ac:dyDescent="0.25">
      <c r="A763" s="1">
        <v>45017</v>
      </c>
      <c r="B763" t="s">
        <v>9</v>
      </c>
      <c r="C763" t="s">
        <v>68</v>
      </c>
      <c r="D763" s="2">
        <v>18649.560000000001</v>
      </c>
      <c r="E763" s="2">
        <v>18649.560000000001</v>
      </c>
      <c r="F763" s="2">
        <v>18649.560000000001</v>
      </c>
      <c r="G763">
        <v>0</v>
      </c>
    </row>
    <row r="764" spans="1:7" x14ac:dyDescent="0.25">
      <c r="A764" s="1">
        <v>45017</v>
      </c>
      <c r="B764" t="s">
        <v>69</v>
      </c>
      <c r="C764" t="s">
        <v>70</v>
      </c>
      <c r="D764" s="2">
        <v>1529147.2</v>
      </c>
      <c r="E764" s="2">
        <v>981216.33</v>
      </c>
      <c r="F764" s="2">
        <v>978198.32</v>
      </c>
      <c r="G764">
        <v>0</v>
      </c>
    </row>
    <row r="765" spans="1:7" x14ac:dyDescent="0.25">
      <c r="A765" s="1">
        <v>45017</v>
      </c>
      <c r="B765" t="s">
        <v>24</v>
      </c>
      <c r="C765" t="s">
        <v>71</v>
      </c>
      <c r="D765" s="2">
        <v>24236742.350000001</v>
      </c>
      <c r="E765" s="2">
        <v>7754346.9100000001</v>
      </c>
      <c r="F765" s="2">
        <v>7221354.9500000002</v>
      </c>
      <c r="G765" s="2">
        <v>21949.08</v>
      </c>
    </row>
    <row r="766" spans="1:7" x14ac:dyDescent="0.25">
      <c r="A766" s="1">
        <v>45017</v>
      </c>
      <c r="B766" t="s">
        <v>24</v>
      </c>
      <c r="C766" t="s">
        <v>72</v>
      </c>
      <c r="D766" s="2">
        <v>1492021</v>
      </c>
      <c r="E766" s="2">
        <v>3611236.9</v>
      </c>
      <c r="F766" s="2">
        <v>3543290.09</v>
      </c>
      <c r="G766" s="2">
        <v>19653.169999999998</v>
      </c>
    </row>
    <row r="767" spans="1:7" x14ac:dyDescent="0.25">
      <c r="A767" s="1">
        <v>45017</v>
      </c>
      <c r="B767" t="s">
        <v>37</v>
      </c>
      <c r="C767" t="s">
        <v>73</v>
      </c>
      <c r="D767" s="2">
        <v>2919630654.23</v>
      </c>
      <c r="E767" s="2">
        <v>546113665.55999994</v>
      </c>
      <c r="F767" s="2">
        <v>334904538.72000003</v>
      </c>
      <c r="G767" s="2">
        <v>9819127.0700000003</v>
      </c>
    </row>
    <row r="768" spans="1:7" x14ac:dyDescent="0.25">
      <c r="A768" s="1">
        <v>45017</v>
      </c>
      <c r="B768" t="s">
        <v>24</v>
      </c>
      <c r="C768" t="s">
        <v>74</v>
      </c>
      <c r="D768" s="2">
        <v>4537232.79</v>
      </c>
      <c r="E768" s="2">
        <v>1449504.99</v>
      </c>
      <c r="F768" s="2">
        <v>1440317.82</v>
      </c>
      <c r="G768" s="2">
        <v>2070888.02</v>
      </c>
    </row>
    <row r="769" spans="1:7" x14ac:dyDescent="0.25">
      <c r="A769" s="1">
        <v>45017</v>
      </c>
      <c r="B769" t="s">
        <v>75</v>
      </c>
      <c r="C769" t="s">
        <v>76</v>
      </c>
      <c r="D769" s="2">
        <v>2683550.11</v>
      </c>
      <c r="E769" s="2">
        <v>5349338.46</v>
      </c>
      <c r="F769" s="2">
        <v>5231557.25</v>
      </c>
      <c r="G769" s="2">
        <v>1251658.99</v>
      </c>
    </row>
    <row r="770" spans="1:7" x14ac:dyDescent="0.25">
      <c r="A770" s="1">
        <v>45017</v>
      </c>
      <c r="B770" t="s">
        <v>77</v>
      </c>
      <c r="C770" t="s">
        <v>78</v>
      </c>
      <c r="D770" s="2">
        <v>346607083.11000001</v>
      </c>
      <c r="E770" s="2">
        <v>234421029.03999999</v>
      </c>
      <c r="F770" s="2">
        <v>240479710.27000001</v>
      </c>
      <c r="G770" s="2">
        <v>35132418.369999997</v>
      </c>
    </row>
    <row r="771" spans="1:7" x14ac:dyDescent="0.25">
      <c r="A771" s="1">
        <v>45017</v>
      </c>
      <c r="B771" t="s">
        <v>37</v>
      </c>
      <c r="C771" t="s">
        <v>79</v>
      </c>
      <c r="D771" s="2">
        <v>15578012.24</v>
      </c>
      <c r="E771" s="2">
        <v>9850834.5600000005</v>
      </c>
      <c r="F771" s="2">
        <v>9733786.4299999997</v>
      </c>
      <c r="G771" s="2">
        <v>107111.26</v>
      </c>
    </row>
    <row r="772" spans="1:7" x14ac:dyDescent="0.25">
      <c r="A772" s="1">
        <v>45017</v>
      </c>
      <c r="B772" t="s">
        <v>80</v>
      </c>
      <c r="C772" t="s">
        <v>81</v>
      </c>
      <c r="D772" s="2">
        <v>2883124.12</v>
      </c>
      <c r="E772" s="2">
        <v>7076535.1900000004</v>
      </c>
      <c r="F772" s="2">
        <v>7038379.4000000004</v>
      </c>
      <c r="G772" s="2">
        <v>85162.91</v>
      </c>
    </row>
    <row r="773" spans="1:7" x14ac:dyDescent="0.25">
      <c r="A773" s="1">
        <v>45017</v>
      </c>
      <c r="B773" t="s">
        <v>24</v>
      </c>
      <c r="C773" t="s">
        <v>82</v>
      </c>
      <c r="D773" s="2">
        <v>36497590.890000001</v>
      </c>
      <c r="E773" s="2">
        <v>7511973.8099999996</v>
      </c>
      <c r="F773" s="2">
        <v>9098337.7799999993</v>
      </c>
      <c r="G773" s="2">
        <v>1159923.8</v>
      </c>
    </row>
    <row r="774" spans="1:7" x14ac:dyDescent="0.25">
      <c r="A774" s="1">
        <v>45017</v>
      </c>
      <c r="B774" t="s">
        <v>16</v>
      </c>
      <c r="C774" t="s">
        <v>83</v>
      </c>
      <c r="D774" s="2">
        <v>149841350.06999999</v>
      </c>
      <c r="E774" s="2">
        <v>134573018.91</v>
      </c>
      <c r="F774" s="2">
        <v>136220403.03999999</v>
      </c>
      <c r="G774" s="2">
        <v>1160737.3</v>
      </c>
    </row>
    <row r="775" spans="1:7" x14ac:dyDescent="0.25">
      <c r="A775" s="1">
        <v>45017</v>
      </c>
      <c r="B775" t="s">
        <v>84</v>
      </c>
      <c r="C775" t="s">
        <v>85</v>
      </c>
      <c r="D775" s="2">
        <v>35823983.259999998</v>
      </c>
      <c r="E775" s="2">
        <v>42001209.210000001</v>
      </c>
      <c r="F775" s="2">
        <v>42226608.039999999</v>
      </c>
      <c r="G775" s="2">
        <v>5700532.8899999997</v>
      </c>
    </row>
    <row r="776" spans="1:7" x14ac:dyDescent="0.25">
      <c r="A776" s="1">
        <v>45017</v>
      </c>
      <c r="B776" t="s">
        <v>84</v>
      </c>
      <c r="C776" t="s">
        <v>86</v>
      </c>
      <c r="D776" s="2">
        <v>479231.89</v>
      </c>
      <c r="E776" s="2">
        <v>80016.639999999999</v>
      </c>
      <c r="F776" s="2">
        <v>38887.620000000003</v>
      </c>
      <c r="G776" s="2">
        <v>13663.05</v>
      </c>
    </row>
    <row r="777" spans="1:7" x14ac:dyDescent="0.25">
      <c r="A777" s="1">
        <v>45017</v>
      </c>
      <c r="B777" t="s">
        <v>16</v>
      </c>
      <c r="C777" t="s">
        <v>87</v>
      </c>
      <c r="D777" s="2">
        <v>438794128.41000003</v>
      </c>
      <c r="E777" s="2">
        <v>507322579.60000002</v>
      </c>
      <c r="F777" s="2">
        <v>643242152.54999995</v>
      </c>
      <c r="G777" s="2">
        <v>253928045.78999999</v>
      </c>
    </row>
    <row r="778" spans="1:7" x14ac:dyDescent="0.25">
      <c r="A778" s="1">
        <v>45017</v>
      </c>
      <c r="B778" t="s">
        <v>29</v>
      </c>
      <c r="C778" t="s">
        <v>88</v>
      </c>
      <c r="D778" s="2">
        <v>3103676.95</v>
      </c>
      <c r="E778" s="2">
        <v>2132267.84</v>
      </c>
      <c r="F778" s="2">
        <v>2131506.39</v>
      </c>
      <c r="G778">
        <v>0</v>
      </c>
    </row>
    <row r="779" spans="1:7" x14ac:dyDescent="0.25">
      <c r="A779" s="1">
        <v>45017</v>
      </c>
      <c r="B779" t="s">
        <v>37</v>
      </c>
      <c r="C779" t="s">
        <v>89</v>
      </c>
      <c r="D779" s="2">
        <v>99761203.319999993</v>
      </c>
      <c r="E779" s="2">
        <v>147696831.68000001</v>
      </c>
      <c r="F779" s="2">
        <v>147061373.44999999</v>
      </c>
      <c r="G779" s="2">
        <v>15813209.789999999</v>
      </c>
    </row>
    <row r="780" spans="1:7" x14ac:dyDescent="0.25">
      <c r="A780" s="1">
        <v>45017</v>
      </c>
      <c r="B780" t="s">
        <v>37</v>
      </c>
      <c r="C780" t="s">
        <v>90</v>
      </c>
      <c r="D780" s="2">
        <v>24334178.789999999</v>
      </c>
      <c r="E780" s="2">
        <v>68155638.329999998</v>
      </c>
      <c r="F780" s="2">
        <v>66882524.140000001</v>
      </c>
      <c r="G780" s="2">
        <v>4594048.43</v>
      </c>
    </row>
    <row r="781" spans="1:7" x14ac:dyDescent="0.25">
      <c r="A781" s="1">
        <v>45017</v>
      </c>
      <c r="B781" t="s">
        <v>37</v>
      </c>
      <c r="C781" t="s">
        <v>91</v>
      </c>
      <c r="D781" s="2">
        <v>22480479.559999999</v>
      </c>
      <c r="E781" s="2">
        <v>76158681.379999995</v>
      </c>
      <c r="F781" s="2">
        <v>74459212.540000007</v>
      </c>
      <c r="G781" s="2">
        <v>1498152.22</v>
      </c>
    </row>
    <row r="782" spans="1:7" x14ac:dyDescent="0.25">
      <c r="A782" s="1">
        <v>45017</v>
      </c>
      <c r="B782" t="s">
        <v>37</v>
      </c>
      <c r="C782" t="s">
        <v>92</v>
      </c>
      <c r="D782" s="2">
        <v>9619052.4800000004</v>
      </c>
      <c r="E782" s="2">
        <v>22837397.620000001</v>
      </c>
      <c r="F782" s="2">
        <v>22544912.469999999</v>
      </c>
      <c r="G782" s="2">
        <v>2903917.05</v>
      </c>
    </row>
    <row r="783" spans="1:7" x14ac:dyDescent="0.25">
      <c r="A783" s="1">
        <v>45017</v>
      </c>
      <c r="B783" t="s">
        <v>37</v>
      </c>
      <c r="C783" t="s">
        <v>93</v>
      </c>
      <c r="D783" s="2">
        <v>10723022.130000001</v>
      </c>
      <c r="E783" s="2">
        <v>14220378.390000001</v>
      </c>
      <c r="F783" s="2">
        <v>13612254.449999999</v>
      </c>
      <c r="G783" s="2">
        <v>1643859.92</v>
      </c>
    </row>
    <row r="784" spans="1:7" x14ac:dyDescent="0.25">
      <c r="A784" s="1">
        <v>45017</v>
      </c>
      <c r="B784" t="s">
        <v>37</v>
      </c>
      <c r="C784" t="s">
        <v>94</v>
      </c>
      <c r="D784" s="2">
        <v>12633538.27</v>
      </c>
      <c r="E784" s="2">
        <v>67507760.060000002</v>
      </c>
      <c r="F784" s="2">
        <v>65126772.07</v>
      </c>
      <c r="G784" s="2">
        <v>1236928.79</v>
      </c>
    </row>
    <row r="785" spans="1:7" x14ac:dyDescent="0.25">
      <c r="A785" s="1">
        <v>45017</v>
      </c>
      <c r="B785" t="s">
        <v>37</v>
      </c>
      <c r="C785" t="s">
        <v>95</v>
      </c>
      <c r="D785" s="2">
        <v>15754627.699999999</v>
      </c>
      <c r="E785" s="2">
        <v>23008918.050000001</v>
      </c>
      <c r="F785" s="2">
        <v>22445385.890000001</v>
      </c>
      <c r="G785" s="2">
        <v>2324356.56</v>
      </c>
    </row>
    <row r="786" spans="1:7" x14ac:dyDescent="0.25">
      <c r="A786" s="1">
        <v>45017</v>
      </c>
      <c r="B786" t="s">
        <v>37</v>
      </c>
      <c r="C786" t="s">
        <v>96</v>
      </c>
      <c r="D786" s="2">
        <v>34283853.280000001</v>
      </c>
      <c r="E786" s="2">
        <v>69697407.25</v>
      </c>
      <c r="F786" s="2">
        <v>68176981.170000002</v>
      </c>
      <c r="G786" s="2">
        <v>4195743.9400000004</v>
      </c>
    </row>
    <row r="787" spans="1:7" x14ac:dyDescent="0.25">
      <c r="A787" s="1">
        <v>45017</v>
      </c>
      <c r="B787" t="s">
        <v>37</v>
      </c>
      <c r="C787" t="s">
        <v>97</v>
      </c>
      <c r="D787" s="2">
        <v>63309331.090000004</v>
      </c>
      <c r="E787" s="2">
        <v>56485455.469999999</v>
      </c>
      <c r="F787" s="2">
        <v>60199839.280000001</v>
      </c>
      <c r="G787" s="2">
        <v>1813302.65</v>
      </c>
    </row>
    <row r="788" spans="1:7" x14ac:dyDescent="0.25">
      <c r="A788" s="1">
        <v>45017</v>
      </c>
      <c r="B788" t="s">
        <v>37</v>
      </c>
      <c r="C788" t="s">
        <v>98</v>
      </c>
      <c r="D788" s="2">
        <v>30396958.59</v>
      </c>
      <c r="E788" s="2">
        <v>28890543.82</v>
      </c>
      <c r="F788" s="2">
        <v>28867899.469999999</v>
      </c>
      <c r="G788" s="2">
        <v>945009.67</v>
      </c>
    </row>
    <row r="789" spans="1:7" x14ac:dyDescent="0.25">
      <c r="A789" s="1">
        <v>45017</v>
      </c>
      <c r="B789" t="s">
        <v>37</v>
      </c>
      <c r="C789" t="s">
        <v>99</v>
      </c>
      <c r="D789" s="2">
        <v>53044462.539999999</v>
      </c>
      <c r="E789" s="2">
        <v>127212453.77</v>
      </c>
      <c r="F789" s="2">
        <v>119826800.06</v>
      </c>
      <c r="G789" s="2">
        <v>2121414.2000000002</v>
      </c>
    </row>
    <row r="790" spans="1:7" x14ac:dyDescent="0.25">
      <c r="A790" s="1">
        <v>45017</v>
      </c>
      <c r="B790" t="s">
        <v>37</v>
      </c>
      <c r="C790" t="s">
        <v>100</v>
      </c>
      <c r="D790" s="2">
        <v>31592872.199999999</v>
      </c>
      <c r="E790" s="2">
        <v>27314162.449999999</v>
      </c>
      <c r="F790" s="2">
        <v>25245368.969999999</v>
      </c>
      <c r="G790" s="2">
        <v>3495870.93</v>
      </c>
    </row>
    <row r="791" spans="1:7" x14ac:dyDescent="0.25">
      <c r="A791" s="1">
        <v>45017</v>
      </c>
      <c r="B791" t="s">
        <v>37</v>
      </c>
      <c r="C791" t="s">
        <v>101</v>
      </c>
      <c r="D791" s="2">
        <v>13506830.75</v>
      </c>
      <c r="E791" s="2">
        <v>28751289.100000001</v>
      </c>
      <c r="F791" s="2">
        <v>28781616.719999999</v>
      </c>
      <c r="G791" s="2">
        <v>3191227.46</v>
      </c>
    </row>
    <row r="792" spans="1:7" x14ac:dyDescent="0.25">
      <c r="A792" s="1">
        <v>45017</v>
      </c>
      <c r="B792" t="s">
        <v>37</v>
      </c>
      <c r="C792" t="s">
        <v>102</v>
      </c>
      <c r="D792" s="2">
        <v>17195517.969999999</v>
      </c>
      <c r="E792" s="2">
        <v>18307134.829999998</v>
      </c>
      <c r="F792" s="2">
        <v>17772813.949999999</v>
      </c>
      <c r="G792" s="2">
        <v>3063376</v>
      </c>
    </row>
    <row r="793" spans="1:7" x14ac:dyDescent="0.25">
      <c r="A793" s="1">
        <v>45017</v>
      </c>
      <c r="B793" t="s">
        <v>37</v>
      </c>
      <c r="C793" t="s">
        <v>103</v>
      </c>
      <c r="D793" s="2">
        <v>7942212.0300000003</v>
      </c>
      <c r="E793" s="2">
        <v>70648273.840000004</v>
      </c>
      <c r="F793" s="2">
        <v>69469993.109999999</v>
      </c>
      <c r="G793" s="2">
        <v>1173330.22</v>
      </c>
    </row>
    <row r="794" spans="1:7" x14ac:dyDescent="0.25">
      <c r="A794" s="1">
        <v>45017</v>
      </c>
      <c r="B794" t="s">
        <v>37</v>
      </c>
      <c r="C794" t="s">
        <v>104</v>
      </c>
      <c r="D794" s="2">
        <v>48290558.399999999</v>
      </c>
      <c r="E794" s="2">
        <v>74503556.349999994</v>
      </c>
      <c r="F794" s="2">
        <v>74944262.569999993</v>
      </c>
      <c r="G794" s="2">
        <v>13816010.42</v>
      </c>
    </row>
    <row r="795" spans="1:7" x14ac:dyDescent="0.25">
      <c r="A795" s="1">
        <v>45017</v>
      </c>
      <c r="B795" t="s">
        <v>37</v>
      </c>
      <c r="C795" t="s">
        <v>105</v>
      </c>
      <c r="D795" s="2">
        <v>13568527.949999999</v>
      </c>
      <c r="E795" s="2">
        <v>28904216</v>
      </c>
      <c r="F795" s="2">
        <v>28162278.960000001</v>
      </c>
      <c r="G795" s="2">
        <v>1160990.24</v>
      </c>
    </row>
    <row r="796" spans="1:7" x14ac:dyDescent="0.25">
      <c r="A796" s="1">
        <v>45017</v>
      </c>
      <c r="B796" t="s">
        <v>37</v>
      </c>
      <c r="C796" t="s">
        <v>106</v>
      </c>
      <c r="D796" s="2">
        <v>89439253.269999996</v>
      </c>
      <c r="E796" s="2">
        <v>63287905.109999999</v>
      </c>
      <c r="F796" s="2">
        <v>64265685.780000001</v>
      </c>
      <c r="G796" s="2">
        <v>2717525.39</v>
      </c>
    </row>
    <row r="797" spans="1:7" x14ac:dyDescent="0.25">
      <c r="A797" s="1">
        <v>45017</v>
      </c>
      <c r="B797" t="s">
        <v>37</v>
      </c>
      <c r="C797" t="s">
        <v>107</v>
      </c>
      <c r="D797" s="2">
        <v>11680343.32</v>
      </c>
      <c r="E797" s="2">
        <v>30670066.960000001</v>
      </c>
      <c r="F797" s="2">
        <v>30114103.969999999</v>
      </c>
      <c r="G797" s="2">
        <v>4163328.44</v>
      </c>
    </row>
    <row r="798" spans="1:7" x14ac:dyDescent="0.25">
      <c r="A798" s="1">
        <v>45017</v>
      </c>
      <c r="B798" t="s">
        <v>37</v>
      </c>
      <c r="C798" t="s">
        <v>108</v>
      </c>
      <c r="D798" s="2">
        <v>10523824.550000001</v>
      </c>
      <c r="E798" s="2">
        <v>22009082.960000001</v>
      </c>
      <c r="F798" s="2">
        <v>21300786.129999999</v>
      </c>
      <c r="G798" s="2">
        <v>1815335.52</v>
      </c>
    </row>
    <row r="799" spans="1:7" x14ac:dyDescent="0.25">
      <c r="A799" s="1">
        <v>45017</v>
      </c>
      <c r="B799" t="s">
        <v>45</v>
      </c>
      <c r="C799" t="s">
        <v>112</v>
      </c>
      <c r="D799" s="2">
        <v>1864830777.24</v>
      </c>
      <c r="E799" s="2">
        <v>2329637640.0900002</v>
      </c>
      <c r="F799" s="2">
        <v>1708169575.3599999</v>
      </c>
      <c r="G799" s="2">
        <v>15514086.24</v>
      </c>
    </row>
    <row r="800" spans="1:7" x14ac:dyDescent="0.25">
      <c r="A800" s="1">
        <v>45017</v>
      </c>
      <c r="B800" t="s">
        <v>11</v>
      </c>
      <c r="C800" t="s">
        <v>113</v>
      </c>
      <c r="D800" s="2">
        <v>29619043.469999999</v>
      </c>
      <c r="E800" s="2">
        <v>29485544.309999999</v>
      </c>
      <c r="F800" s="2">
        <v>29485576.949999999</v>
      </c>
      <c r="G800">
        <v>0</v>
      </c>
    </row>
    <row r="801" spans="1:7" x14ac:dyDescent="0.25">
      <c r="A801" s="1">
        <v>45017</v>
      </c>
      <c r="B801" t="s">
        <v>80</v>
      </c>
      <c r="C801" t="s">
        <v>114</v>
      </c>
      <c r="D801" s="2">
        <v>10369051541.639999</v>
      </c>
      <c r="E801" s="2">
        <v>10369014823.26</v>
      </c>
      <c r="F801" s="2">
        <v>10369013337.639999</v>
      </c>
      <c r="G801" s="2">
        <v>8021800.5499999998</v>
      </c>
    </row>
    <row r="802" spans="1:7" x14ac:dyDescent="0.25">
      <c r="A802" s="1">
        <v>45017</v>
      </c>
      <c r="B802" t="s">
        <v>45</v>
      </c>
      <c r="C802" t="s">
        <v>115</v>
      </c>
      <c r="D802">
        <v>0</v>
      </c>
      <c r="E802">
        <v>0</v>
      </c>
      <c r="F802">
        <v>0</v>
      </c>
      <c r="G802" s="2">
        <v>11954520.02</v>
      </c>
    </row>
    <row r="803" spans="1:7" x14ac:dyDescent="0.25">
      <c r="A803" s="1">
        <v>45017</v>
      </c>
      <c r="B803" t="s">
        <v>63</v>
      </c>
      <c r="C803" t="s">
        <v>116</v>
      </c>
      <c r="D803">
        <v>0</v>
      </c>
      <c r="E803" s="2">
        <v>35163.69</v>
      </c>
      <c r="F803" s="2">
        <v>35163.69</v>
      </c>
      <c r="G803" s="2">
        <v>37902641.409999996</v>
      </c>
    </row>
    <row r="804" spans="1:7" x14ac:dyDescent="0.25">
      <c r="A804" s="1">
        <v>45017</v>
      </c>
      <c r="B804" t="s">
        <v>31</v>
      </c>
      <c r="C804" t="s">
        <v>117</v>
      </c>
      <c r="D804">
        <v>0</v>
      </c>
      <c r="E804">
        <v>0</v>
      </c>
      <c r="F804">
        <v>0</v>
      </c>
      <c r="G804" s="2">
        <v>1272354.8999999999</v>
      </c>
    </row>
    <row r="805" spans="1:7" x14ac:dyDescent="0.25">
      <c r="A805" s="1">
        <v>45017</v>
      </c>
      <c r="B805" t="s">
        <v>50</v>
      </c>
      <c r="C805" t="s">
        <v>118</v>
      </c>
      <c r="D805">
        <v>0</v>
      </c>
      <c r="E805">
        <v>0</v>
      </c>
      <c r="F805">
        <v>0</v>
      </c>
      <c r="G805" s="2">
        <v>6134047.96</v>
      </c>
    </row>
    <row r="806" spans="1:7" x14ac:dyDescent="0.25">
      <c r="A806" s="1">
        <v>45017</v>
      </c>
      <c r="B806" t="s">
        <v>50</v>
      </c>
      <c r="C806" t="s">
        <v>119</v>
      </c>
      <c r="D806" s="2">
        <v>423628746.22000003</v>
      </c>
      <c r="E806">
        <v>0</v>
      </c>
      <c r="F806">
        <v>0</v>
      </c>
      <c r="G806" s="2">
        <v>181259003.27000001</v>
      </c>
    </row>
    <row r="807" spans="1:7" x14ac:dyDescent="0.25">
      <c r="A807" s="1">
        <v>45017</v>
      </c>
      <c r="B807" t="s">
        <v>45</v>
      </c>
      <c r="C807" t="s">
        <v>120</v>
      </c>
      <c r="D807" s="2">
        <v>430911.5</v>
      </c>
      <c r="E807" s="2">
        <v>430911.5</v>
      </c>
      <c r="F807" s="2">
        <v>430914.84</v>
      </c>
      <c r="G807">
        <v>0</v>
      </c>
    </row>
    <row r="808" spans="1:7" x14ac:dyDescent="0.25">
      <c r="A808" s="1">
        <v>45017</v>
      </c>
      <c r="B808" t="s">
        <v>45</v>
      </c>
      <c r="C808" t="s">
        <v>121</v>
      </c>
      <c r="D808" s="2">
        <v>44211350.659999996</v>
      </c>
      <c r="E808" s="2">
        <v>44211350.659999996</v>
      </c>
      <c r="F808" s="2">
        <v>44211350.659999996</v>
      </c>
      <c r="G808" s="2">
        <v>407849.26</v>
      </c>
    </row>
    <row r="809" spans="1:7" x14ac:dyDescent="0.25">
      <c r="A809" s="1">
        <v>45017</v>
      </c>
      <c r="B809" t="s">
        <v>61</v>
      </c>
      <c r="C809" t="s">
        <v>122</v>
      </c>
      <c r="D809" s="2">
        <v>9270765.9700000007</v>
      </c>
      <c r="E809" s="2">
        <v>3369474.56</v>
      </c>
      <c r="F809" s="2">
        <v>3533833.47</v>
      </c>
      <c r="G809" s="2">
        <v>5819.81</v>
      </c>
    </row>
    <row r="810" spans="1:7" x14ac:dyDescent="0.25">
      <c r="A810" s="1">
        <v>45017</v>
      </c>
      <c r="B810" t="s">
        <v>29</v>
      </c>
      <c r="C810" t="s">
        <v>124</v>
      </c>
      <c r="D810" s="2">
        <v>207542959.55000001</v>
      </c>
      <c r="E810" s="2">
        <v>151779090.31</v>
      </c>
      <c r="F810" s="2">
        <v>152170769.56</v>
      </c>
      <c r="G810" s="2">
        <v>31809373.969999999</v>
      </c>
    </row>
    <row r="811" spans="1:7" x14ac:dyDescent="0.25">
      <c r="A811" s="1">
        <v>45017</v>
      </c>
      <c r="B811" t="s">
        <v>125</v>
      </c>
      <c r="C811" t="s">
        <v>126</v>
      </c>
      <c r="D811" s="2">
        <v>13289048.779999999</v>
      </c>
      <c r="E811" s="2">
        <v>64346268021.209999</v>
      </c>
      <c r="F811" s="2">
        <v>64474521750.93</v>
      </c>
      <c r="G811" s="2">
        <v>529893.41</v>
      </c>
    </row>
    <row r="812" spans="1:7" x14ac:dyDescent="0.25">
      <c r="A812" s="1">
        <v>45017</v>
      </c>
      <c r="B812" t="s">
        <v>127</v>
      </c>
      <c r="C812" t="s">
        <v>128</v>
      </c>
      <c r="D812" s="2">
        <v>47300000</v>
      </c>
      <c r="E812">
        <v>0</v>
      </c>
      <c r="F812">
        <v>0</v>
      </c>
      <c r="G812" s="2">
        <v>24032831.129999999</v>
      </c>
    </row>
    <row r="813" spans="1:7" x14ac:dyDescent="0.25">
      <c r="A813" s="1">
        <v>45017</v>
      </c>
      <c r="B813" t="s">
        <v>31</v>
      </c>
      <c r="C813" t="s">
        <v>129</v>
      </c>
      <c r="D813" s="2">
        <v>868805.11</v>
      </c>
      <c r="E813" s="2">
        <v>573876.18000000005</v>
      </c>
      <c r="F813" s="2">
        <v>573876.18000000005</v>
      </c>
      <c r="G813" s="2">
        <v>1691800.61</v>
      </c>
    </row>
    <row r="814" spans="1:7" x14ac:dyDescent="0.25">
      <c r="A814" s="1">
        <v>45017</v>
      </c>
      <c r="B814" t="s">
        <v>130</v>
      </c>
      <c r="C814" t="s">
        <v>131</v>
      </c>
      <c r="D814" s="2">
        <v>491298466.63</v>
      </c>
      <c r="E814" s="2">
        <v>206996928.16</v>
      </c>
      <c r="F814" s="2">
        <v>208024291.84999999</v>
      </c>
      <c r="G814" s="2">
        <v>31767465.789999999</v>
      </c>
    </row>
    <row r="815" spans="1:7" x14ac:dyDescent="0.25">
      <c r="A815" s="1">
        <v>45017</v>
      </c>
      <c r="B815" t="s">
        <v>11</v>
      </c>
      <c r="C815" t="s">
        <v>132</v>
      </c>
      <c r="D815" s="2">
        <v>28485329</v>
      </c>
      <c r="E815" s="2">
        <v>352016.67</v>
      </c>
      <c r="F815" s="2">
        <v>789868.98</v>
      </c>
      <c r="G815" s="2">
        <v>2982066.82</v>
      </c>
    </row>
    <row r="816" spans="1:7" x14ac:dyDescent="0.25">
      <c r="A816" s="1">
        <v>45017</v>
      </c>
      <c r="B816" t="s">
        <v>24</v>
      </c>
      <c r="C816" t="s">
        <v>133</v>
      </c>
      <c r="D816">
        <v>0</v>
      </c>
      <c r="E816">
        <v>0</v>
      </c>
      <c r="F816">
        <v>0</v>
      </c>
      <c r="G816" s="2">
        <v>3833591.25</v>
      </c>
    </row>
    <row r="817" spans="1:7" x14ac:dyDescent="0.25">
      <c r="A817" s="1">
        <v>45017</v>
      </c>
      <c r="B817" t="s">
        <v>9</v>
      </c>
      <c r="C817" t="s">
        <v>135</v>
      </c>
      <c r="D817" s="2">
        <v>61833164.590000004</v>
      </c>
      <c r="E817" s="2">
        <v>48457552.689999998</v>
      </c>
      <c r="F817" s="2">
        <v>264148102.41</v>
      </c>
      <c r="G817" s="2">
        <v>9319443.9600000009</v>
      </c>
    </row>
    <row r="818" spans="1:7" x14ac:dyDescent="0.25">
      <c r="A818" s="1">
        <v>45017</v>
      </c>
      <c r="B818" t="s">
        <v>37</v>
      </c>
      <c r="C818" t="s">
        <v>136</v>
      </c>
      <c r="D818" s="2">
        <v>1265914805.8299999</v>
      </c>
      <c r="E818" s="2">
        <v>5417478908.1599998</v>
      </c>
      <c r="F818" s="2">
        <v>5334445049.3100004</v>
      </c>
      <c r="G818" s="2">
        <v>113387683.37</v>
      </c>
    </row>
    <row r="819" spans="1:7" x14ac:dyDescent="0.25">
      <c r="A819" s="1">
        <v>45017</v>
      </c>
      <c r="B819" t="s">
        <v>31</v>
      </c>
      <c r="C819" t="s">
        <v>138</v>
      </c>
      <c r="D819" s="2">
        <v>33233094.460000001</v>
      </c>
      <c r="E819" s="2">
        <v>48255935.270000003</v>
      </c>
      <c r="F819" s="2">
        <v>47816472.210000001</v>
      </c>
      <c r="G819" s="2">
        <v>14612006.359999999</v>
      </c>
    </row>
    <row r="820" spans="1:7" x14ac:dyDescent="0.25">
      <c r="A820" s="1">
        <v>45017</v>
      </c>
      <c r="B820" t="s">
        <v>31</v>
      </c>
      <c r="C820" t="s">
        <v>143</v>
      </c>
      <c r="D820" s="2">
        <v>27629056.5</v>
      </c>
      <c r="E820" s="2">
        <v>8033622.9100000001</v>
      </c>
      <c r="F820" s="2">
        <v>7763846.7400000002</v>
      </c>
      <c r="G820" s="2">
        <v>1178136.1200000001</v>
      </c>
    </row>
    <row r="821" spans="1:7" x14ac:dyDescent="0.25">
      <c r="A821" s="1">
        <v>45017</v>
      </c>
      <c r="B821" t="s">
        <v>61</v>
      </c>
      <c r="C821" t="s">
        <v>144</v>
      </c>
      <c r="D821" s="2">
        <v>158298.65</v>
      </c>
      <c r="E821" s="2">
        <v>613873.89</v>
      </c>
      <c r="F821" s="2">
        <v>615588.43000000005</v>
      </c>
      <c r="G821">
        <v>0</v>
      </c>
    </row>
    <row r="822" spans="1:7" x14ac:dyDescent="0.25">
      <c r="A822" s="1">
        <v>45017</v>
      </c>
      <c r="B822" t="s">
        <v>37</v>
      </c>
      <c r="C822" t="s">
        <v>145</v>
      </c>
      <c r="D822" s="2">
        <v>150012915.47999999</v>
      </c>
      <c r="E822" s="2">
        <v>123931341.42</v>
      </c>
      <c r="F822" s="2">
        <v>131850406.31</v>
      </c>
      <c r="G822" s="2">
        <v>7944855.4900000002</v>
      </c>
    </row>
    <row r="823" spans="1:7" x14ac:dyDescent="0.25">
      <c r="A823" s="1">
        <v>45017</v>
      </c>
      <c r="B823" t="s">
        <v>16</v>
      </c>
      <c r="C823" t="s">
        <v>146</v>
      </c>
      <c r="D823" s="2">
        <v>172823373.09</v>
      </c>
      <c r="E823" s="2">
        <v>150484666.88</v>
      </c>
      <c r="F823" s="2">
        <v>144949943.59999999</v>
      </c>
      <c r="G823" s="2">
        <v>1529373.49</v>
      </c>
    </row>
    <row r="824" spans="1:7" x14ac:dyDescent="0.25">
      <c r="A824" s="1">
        <v>45017</v>
      </c>
      <c r="B824" t="s">
        <v>29</v>
      </c>
      <c r="C824" t="s">
        <v>147</v>
      </c>
      <c r="D824" s="2">
        <v>22975491.120000001</v>
      </c>
      <c r="E824" s="2">
        <v>17589580.440000001</v>
      </c>
      <c r="F824" s="2">
        <v>16755388.119999999</v>
      </c>
      <c r="G824" s="2">
        <v>10705864.82</v>
      </c>
    </row>
    <row r="825" spans="1:7" x14ac:dyDescent="0.25">
      <c r="A825" s="1">
        <v>45017</v>
      </c>
      <c r="B825" t="s">
        <v>24</v>
      </c>
      <c r="C825" t="s">
        <v>148</v>
      </c>
      <c r="D825" s="2">
        <v>37766868.079999998</v>
      </c>
      <c r="E825" s="2">
        <v>11725284.890000001</v>
      </c>
      <c r="F825" s="2">
        <v>11210061.35</v>
      </c>
      <c r="G825" s="2">
        <v>413700.76</v>
      </c>
    </row>
    <row r="826" spans="1:7" x14ac:dyDescent="0.25">
      <c r="A826" s="1">
        <v>45017</v>
      </c>
      <c r="B826" t="s">
        <v>22</v>
      </c>
      <c r="C826" t="s">
        <v>149</v>
      </c>
      <c r="D826" s="2">
        <v>62180942.479999997</v>
      </c>
      <c r="E826" s="2">
        <v>119380155.89</v>
      </c>
      <c r="F826" s="2">
        <v>121484901.01000001</v>
      </c>
      <c r="G826" s="2">
        <v>5944426.2699999996</v>
      </c>
    </row>
    <row r="827" spans="1:7" x14ac:dyDescent="0.25">
      <c r="A827" s="1">
        <v>45017</v>
      </c>
      <c r="B827" t="s">
        <v>22</v>
      </c>
      <c r="C827" t="s">
        <v>150</v>
      </c>
      <c r="D827" s="2">
        <v>134077733.3</v>
      </c>
      <c r="E827" s="2">
        <v>57622153.530000001</v>
      </c>
      <c r="F827" s="2">
        <v>54968098.399999999</v>
      </c>
      <c r="G827" s="2">
        <v>1771956.96</v>
      </c>
    </row>
    <row r="828" spans="1:7" x14ac:dyDescent="0.25">
      <c r="A828" s="1">
        <v>45017</v>
      </c>
      <c r="B828" t="s">
        <v>77</v>
      </c>
      <c r="C828" t="s">
        <v>151</v>
      </c>
      <c r="D828" s="2">
        <v>34893163</v>
      </c>
      <c r="E828" s="2">
        <v>30805070.32</v>
      </c>
      <c r="F828" s="2">
        <v>29782464.07</v>
      </c>
      <c r="G828" s="2">
        <v>86773.8</v>
      </c>
    </row>
    <row r="829" spans="1:7" x14ac:dyDescent="0.25">
      <c r="A829" s="1">
        <v>45017</v>
      </c>
      <c r="B829" t="s">
        <v>22</v>
      </c>
      <c r="C829" t="s">
        <v>152</v>
      </c>
      <c r="D829" s="2">
        <v>3022369.83</v>
      </c>
      <c r="E829" s="2">
        <v>7007810.5899999999</v>
      </c>
      <c r="F829" s="2">
        <v>6552487.7199999997</v>
      </c>
      <c r="G829" s="2">
        <v>163785.04</v>
      </c>
    </row>
    <row r="830" spans="1:7" x14ac:dyDescent="0.25">
      <c r="A830" s="1">
        <v>45017</v>
      </c>
      <c r="B830" t="s">
        <v>24</v>
      </c>
      <c r="C830" t="s">
        <v>153</v>
      </c>
      <c r="D830" s="2">
        <v>59783804.159999996</v>
      </c>
      <c r="E830" s="2">
        <v>21431928.170000002</v>
      </c>
      <c r="F830" s="2">
        <v>20140668.329999998</v>
      </c>
      <c r="G830" s="2">
        <v>7554674.5700000003</v>
      </c>
    </row>
    <row r="831" spans="1:7" x14ac:dyDescent="0.25">
      <c r="A831" s="1">
        <v>45017</v>
      </c>
      <c r="B831" t="s">
        <v>37</v>
      </c>
      <c r="C831" t="s">
        <v>154</v>
      </c>
      <c r="D831" s="2">
        <v>8094099.96</v>
      </c>
      <c r="E831" s="2">
        <v>27334757.309999999</v>
      </c>
      <c r="F831" s="2">
        <v>26645799.079999998</v>
      </c>
      <c r="G831" s="2">
        <v>3315034.49</v>
      </c>
    </row>
    <row r="832" spans="1:7" x14ac:dyDescent="0.25">
      <c r="A832" s="1">
        <v>45017</v>
      </c>
      <c r="B832" t="s">
        <v>37</v>
      </c>
      <c r="C832" t="s">
        <v>155</v>
      </c>
      <c r="D832" s="2">
        <v>7999366.9299999997</v>
      </c>
      <c r="E832" s="2">
        <v>30451976.719999999</v>
      </c>
      <c r="F832" s="2">
        <v>29595355.27</v>
      </c>
      <c r="G832" s="2">
        <v>1577506.05</v>
      </c>
    </row>
    <row r="833" spans="1:7" x14ac:dyDescent="0.25">
      <c r="A833" s="1">
        <v>45017</v>
      </c>
      <c r="B833" t="s">
        <v>37</v>
      </c>
      <c r="C833" t="s">
        <v>156</v>
      </c>
      <c r="D833" s="2">
        <v>32901683.399999999</v>
      </c>
      <c r="E833" s="2">
        <v>51156661.68</v>
      </c>
      <c r="F833" s="2">
        <v>50144147.979999997</v>
      </c>
      <c r="G833" s="2">
        <v>3793582.28</v>
      </c>
    </row>
    <row r="834" spans="1:7" x14ac:dyDescent="0.25">
      <c r="A834" s="1">
        <v>45017</v>
      </c>
      <c r="B834" t="s">
        <v>37</v>
      </c>
      <c r="C834" t="s">
        <v>157</v>
      </c>
      <c r="D834" s="2">
        <v>24853071.289999999</v>
      </c>
      <c r="E834" s="2">
        <v>46816881.369999997</v>
      </c>
      <c r="F834" s="2">
        <v>46344717.289999999</v>
      </c>
      <c r="G834" s="2">
        <v>5384039.8799999999</v>
      </c>
    </row>
    <row r="835" spans="1:7" x14ac:dyDescent="0.25">
      <c r="A835" s="1">
        <v>45017</v>
      </c>
      <c r="B835" t="s">
        <v>37</v>
      </c>
      <c r="C835" t="s">
        <v>158</v>
      </c>
      <c r="D835" s="2">
        <v>4183604.74</v>
      </c>
      <c r="E835" s="2">
        <v>29456835.079999998</v>
      </c>
      <c r="F835" s="2">
        <v>29314080.98</v>
      </c>
      <c r="G835" s="2">
        <v>3013382.63</v>
      </c>
    </row>
    <row r="836" spans="1:7" x14ac:dyDescent="0.25">
      <c r="A836" s="1">
        <v>45017</v>
      </c>
      <c r="B836" t="s">
        <v>37</v>
      </c>
      <c r="C836" t="s">
        <v>159</v>
      </c>
      <c r="D836" s="2">
        <v>34905067.350000001</v>
      </c>
      <c r="E836" s="2">
        <v>20665842.129999999</v>
      </c>
      <c r="F836" s="2">
        <v>20382504.34</v>
      </c>
      <c r="G836" s="2">
        <v>9349602.0999999996</v>
      </c>
    </row>
    <row r="837" spans="1:7" x14ac:dyDescent="0.25">
      <c r="A837" s="1">
        <v>45017</v>
      </c>
      <c r="B837" t="s">
        <v>37</v>
      </c>
      <c r="C837" t="s">
        <v>160</v>
      </c>
      <c r="D837" s="2">
        <v>8130792.0999999996</v>
      </c>
      <c r="E837" s="2">
        <v>39081292.859999999</v>
      </c>
      <c r="F837" s="2">
        <v>38615196.640000001</v>
      </c>
      <c r="G837" s="2">
        <v>1885371.32</v>
      </c>
    </row>
    <row r="838" spans="1:7" x14ac:dyDescent="0.25">
      <c r="A838" s="1">
        <v>45017</v>
      </c>
      <c r="B838" t="s">
        <v>37</v>
      </c>
      <c r="C838" t="s">
        <v>161</v>
      </c>
      <c r="D838" s="2">
        <v>17270240.899999999</v>
      </c>
      <c r="E838" s="2">
        <v>34656572.850000001</v>
      </c>
      <c r="F838" s="2">
        <v>34217700.479999997</v>
      </c>
      <c r="G838" s="2">
        <v>2370457.73</v>
      </c>
    </row>
    <row r="839" spans="1:7" x14ac:dyDescent="0.25">
      <c r="A839" s="1">
        <v>45017</v>
      </c>
      <c r="B839" t="s">
        <v>37</v>
      </c>
      <c r="C839" t="s">
        <v>162</v>
      </c>
      <c r="D839" s="2">
        <v>26646911.120000001</v>
      </c>
      <c r="E839" s="2">
        <v>46713236.68</v>
      </c>
      <c r="F839" s="2">
        <v>46291112.630000003</v>
      </c>
      <c r="G839" s="2">
        <v>2923890.25</v>
      </c>
    </row>
    <row r="840" spans="1:7" x14ac:dyDescent="0.25">
      <c r="A840" s="1">
        <v>45017</v>
      </c>
      <c r="B840" t="s">
        <v>37</v>
      </c>
      <c r="C840" t="s">
        <v>163</v>
      </c>
      <c r="D840" s="2">
        <v>13806013.57</v>
      </c>
      <c r="E840" s="2">
        <v>19745592.48</v>
      </c>
      <c r="F840" s="2">
        <v>18505453.949999999</v>
      </c>
      <c r="G840" s="2">
        <v>5201944.43</v>
      </c>
    </row>
    <row r="841" spans="1:7" x14ac:dyDescent="0.25">
      <c r="A841" s="1">
        <v>45017</v>
      </c>
      <c r="B841" t="s">
        <v>37</v>
      </c>
      <c r="C841" t="s">
        <v>164</v>
      </c>
      <c r="D841" s="2">
        <v>3425814.67</v>
      </c>
      <c r="E841" s="2">
        <v>10889931.800000001</v>
      </c>
      <c r="F841" s="2">
        <v>10795806.390000001</v>
      </c>
      <c r="G841" s="2">
        <v>2360216.81</v>
      </c>
    </row>
    <row r="842" spans="1:7" x14ac:dyDescent="0.25">
      <c r="A842" s="1">
        <v>45017</v>
      </c>
      <c r="B842" t="s">
        <v>37</v>
      </c>
      <c r="C842" t="s">
        <v>165</v>
      </c>
      <c r="D842" s="2">
        <v>76422066.400000006</v>
      </c>
      <c r="E842" s="2">
        <v>49095716.770000003</v>
      </c>
      <c r="F842" s="2">
        <v>48392040.409999996</v>
      </c>
      <c r="G842" s="2">
        <v>3520015.05</v>
      </c>
    </row>
    <row r="843" spans="1:7" x14ac:dyDescent="0.25">
      <c r="A843" s="1">
        <v>45017</v>
      </c>
      <c r="B843" t="s">
        <v>37</v>
      </c>
      <c r="C843" t="s">
        <v>166</v>
      </c>
      <c r="D843" s="2">
        <v>8530578.5700000003</v>
      </c>
      <c r="E843" s="2">
        <v>22659562.859999999</v>
      </c>
      <c r="F843" s="2">
        <v>22567291.440000001</v>
      </c>
      <c r="G843" s="2">
        <v>1646736.36</v>
      </c>
    </row>
    <row r="844" spans="1:7" x14ac:dyDescent="0.25">
      <c r="A844" s="1">
        <v>45017</v>
      </c>
      <c r="B844" t="s">
        <v>37</v>
      </c>
      <c r="C844" t="s">
        <v>167</v>
      </c>
      <c r="D844" s="2">
        <v>31259070.710000001</v>
      </c>
      <c r="E844" s="2">
        <v>79794963.180000007</v>
      </c>
      <c r="F844" s="2">
        <v>78803310</v>
      </c>
      <c r="G844" s="2">
        <v>6443192.8200000003</v>
      </c>
    </row>
    <row r="845" spans="1:7" x14ac:dyDescent="0.25">
      <c r="A845" s="1">
        <v>45017</v>
      </c>
      <c r="B845" t="s">
        <v>37</v>
      </c>
      <c r="C845" t="s">
        <v>168</v>
      </c>
      <c r="D845" s="2">
        <v>7340029.9000000004</v>
      </c>
      <c r="E845" s="2">
        <v>10503787.1</v>
      </c>
      <c r="F845" s="2">
        <v>10262366.869999999</v>
      </c>
      <c r="G845" s="2">
        <v>1824347.6</v>
      </c>
    </row>
    <row r="846" spans="1:7" x14ac:dyDescent="0.25">
      <c r="A846" s="1">
        <v>45017</v>
      </c>
      <c r="B846" t="s">
        <v>37</v>
      </c>
      <c r="C846" t="s">
        <v>169</v>
      </c>
      <c r="D846" s="2">
        <v>6329435.3700000001</v>
      </c>
      <c r="E846" s="2">
        <v>7951181.4199999999</v>
      </c>
      <c r="F846" s="2">
        <v>7767727.29</v>
      </c>
      <c r="G846" s="2">
        <v>2386714.2200000002</v>
      </c>
    </row>
    <row r="847" spans="1:7" x14ac:dyDescent="0.25">
      <c r="A847" s="1">
        <v>45017</v>
      </c>
      <c r="B847" t="s">
        <v>37</v>
      </c>
      <c r="C847" t="s">
        <v>170</v>
      </c>
      <c r="D847" s="2">
        <v>9058249.5899999999</v>
      </c>
      <c r="E847" s="2">
        <v>32602509.18</v>
      </c>
      <c r="F847" s="2">
        <v>30550035.379999999</v>
      </c>
      <c r="G847" s="2">
        <v>2850042.26</v>
      </c>
    </row>
    <row r="848" spans="1:7" x14ac:dyDescent="0.25">
      <c r="A848" s="1">
        <v>45017</v>
      </c>
      <c r="B848" t="s">
        <v>37</v>
      </c>
      <c r="C848" t="s">
        <v>171</v>
      </c>
      <c r="D848" s="2">
        <v>47135452.479999997</v>
      </c>
      <c r="E848" s="2">
        <v>64814041.119999997</v>
      </c>
      <c r="F848" s="2">
        <v>63543502.100000001</v>
      </c>
      <c r="G848" s="2">
        <v>4420377.8899999997</v>
      </c>
    </row>
    <row r="849" spans="1:7" x14ac:dyDescent="0.25">
      <c r="A849" s="1">
        <v>45017</v>
      </c>
      <c r="B849" t="s">
        <v>37</v>
      </c>
      <c r="C849" t="s">
        <v>172</v>
      </c>
      <c r="D849" s="2">
        <v>60674861.43</v>
      </c>
      <c r="E849" s="2">
        <v>59146736</v>
      </c>
      <c r="F849" s="2">
        <v>55722765.270000003</v>
      </c>
      <c r="G849" s="2">
        <v>5434952.8899999997</v>
      </c>
    </row>
    <row r="850" spans="1:7" x14ac:dyDescent="0.25">
      <c r="A850" s="1">
        <v>45017</v>
      </c>
      <c r="B850" t="s">
        <v>37</v>
      </c>
      <c r="C850" t="s">
        <v>173</v>
      </c>
      <c r="D850" s="2">
        <v>27001447.23</v>
      </c>
      <c r="E850" s="2">
        <v>53898871.619999997</v>
      </c>
      <c r="F850" s="2">
        <v>53403186.649999999</v>
      </c>
      <c r="G850" s="2">
        <v>4436713.72</v>
      </c>
    </row>
    <row r="851" spans="1:7" x14ac:dyDescent="0.25">
      <c r="A851" s="1">
        <v>45017</v>
      </c>
      <c r="B851" t="s">
        <v>37</v>
      </c>
      <c r="C851" t="s">
        <v>174</v>
      </c>
      <c r="D851" s="2">
        <v>24172376.23</v>
      </c>
      <c r="E851" s="2">
        <v>39343092.270000003</v>
      </c>
      <c r="F851" s="2">
        <v>38249714.450000003</v>
      </c>
      <c r="G851" s="2">
        <v>2910667.53</v>
      </c>
    </row>
    <row r="852" spans="1:7" x14ac:dyDescent="0.25">
      <c r="A852" s="1">
        <v>45017</v>
      </c>
      <c r="B852" t="s">
        <v>37</v>
      </c>
      <c r="C852" t="s">
        <v>175</v>
      </c>
      <c r="D852" s="2">
        <v>19870119.289999999</v>
      </c>
      <c r="E852" s="2">
        <v>17835384.690000001</v>
      </c>
      <c r="F852" s="2">
        <v>17734817.649999999</v>
      </c>
      <c r="G852" s="2">
        <v>4813017.4000000004</v>
      </c>
    </row>
    <row r="853" spans="1:7" x14ac:dyDescent="0.25">
      <c r="A853" s="1">
        <v>45017</v>
      </c>
      <c r="B853" t="s">
        <v>37</v>
      </c>
      <c r="C853" t="s">
        <v>176</v>
      </c>
      <c r="D853" s="2">
        <v>17232784.75</v>
      </c>
      <c r="E853" s="2">
        <v>22482168.989999998</v>
      </c>
      <c r="F853" s="2">
        <v>22725231.859999999</v>
      </c>
      <c r="G853" s="2">
        <v>2747790.04</v>
      </c>
    </row>
    <row r="854" spans="1:7" x14ac:dyDescent="0.25">
      <c r="A854" s="1">
        <v>45017</v>
      </c>
      <c r="B854" t="s">
        <v>37</v>
      </c>
      <c r="C854" t="s">
        <v>177</v>
      </c>
      <c r="D854" s="2">
        <v>54252581.170000002</v>
      </c>
      <c r="E854" s="2">
        <v>37694909.859999999</v>
      </c>
      <c r="F854" s="2">
        <v>37420391.399999999</v>
      </c>
      <c r="G854" s="2">
        <v>2240674.46</v>
      </c>
    </row>
    <row r="855" spans="1:7" x14ac:dyDescent="0.25">
      <c r="A855" s="1">
        <v>45017</v>
      </c>
      <c r="B855" t="s">
        <v>37</v>
      </c>
      <c r="C855" t="s">
        <v>178</v>
      </c>
      <c r="D855" s="2">
        <v>29004893.899999999</v>
      </c>
      <c r="E855" s="2">
        <v>42899888.43</v>
      </c>
      <c r="F855" s="2">
        <v>42177240.829999998</v>
      </c>
      <c r="G855" s="2">
        <v>2343227.19</v>
      </c>
    </row>
    <row r="856" spans="1:7" x14ac:dyDescent="0.25">
      <c r="A856" s="1">
        <v>45017</v>
      </c>
      <c r="B856" t="s">
        <v>37</v>
      </c>
      <c r="C856" t="s">
        <v>179</v>
      </c>
      <c r="D856" s="2">
        <v>5126479.66</v>
      </c>
      <c r="E856" s="2">
        <v>40772399.259999998</v>
      </c>
      <c r="F856" s="2">
        <v>40928113.560000002</v>
      </c>
      <c r="G856" s="2">
        <v>1496419.13</v>
      </c>
    </row>
    <row r="857" spans="1:7" x14ac:dyDescent="0.25">
      <c r="A857" s="1">
        <v>45017</v>
      </c>
      <c r="B857" t="s">
        <v>37</v>
      </c>
      <c r="C857" t="s">
        <v>180</v>
      </c>
      <c r="D857" s="2">
        <v>66895759.880000003</v>
      </c>
      <c r="E857" s="2">
        <v>36266648.189999998</v>
      </c>
      <c r="F857" s="2">
        <v>35397838.560000002</v>
      </c>
      <c r="G857" s="2">
        <v>2162189.79</v>
      </c>
    </row>
    <row r="858" spans="1:7" x14ac:dyDescent="0.25">
      <c r="A858" s="1">
        <v>45017</v>
      </c>
      <c r="B858" t="s">
        <v>37</v>
      </c>
      <c r="C858" t="s">
        <v>181</v>
      </c>
      <c r="D858" s="2">
        <v>12222046.25</v>
      </c>
      <c r="E858" s="2">
        <v>51045249.799999997</v>
      </c>
      <c r="F858" s="2">
        <v>49535216.899999999</v>
      </c>
      <c r="G858" s="2">
        <v>6632175.1299999999</v>
      </c>
    </row>
    <row r="859" spans="1:7" x14ac:dyDescent="0.25">
      <c r="A859" s="1">
        <v>45017</v>
      </c>
      <c r="B859" t="s">
        <v>37</v>
      </c>
      <c r="C859" t="s">
        <v>182</v>
      </c>
      <c r="D859" s="2">
        <v>16214388.119999999</v>
      </c>
      <c r="E859" s="2">
        <v>39058499.560000002</v>
      </c>
      <c r="F859" s="2">
        <v>38846440.009999998</v>
      </c>
      <c r="G859" s="2">
        <v>1513929.73</v>
      </c>
    </row>
    <row r="860" spans="1:7" x14ac:dyDescent="0.25">
      <c r="A860" s="1">
        <v>45017</v>
      </c>
      <c r="B860" t="s">
        <v>37</v>
      </c>
      <c r="C860" t="s">
        <v>183</v>
      </c>
      <c r="D860" s="2">
        <v>3530830.66</v>
      </c>
      <c r="E860" s="2">
        <v>16249564.27</v>
      </c>
      <c r="F860" s="2">
        <v>15970353.99</v>
      </c>
      <c r="G860" s="2">
        <v>1119565.08</v>
      </c>
    </row>
    <row r="861" spans="1:7" x14ac:dyDescent="0.25">
      <c r="A861" s="1">
        <v>45017</v>
      </c>
      <c r="B861" t="s">
        <v>37</v>
      </c>
      <c r="C861" t="s">
        <v>184</v>
      </c>
      <c r="D861" s="2">
        <v>7211174.9299999997</v>
      </c>
      <c r="E861" s="2">
        <v>24292995.789999999</v>
      </c>
      <c r="F861" s="2">
        <v>23772649.77</v>
      </c>
      <c r="G861" s="2">
        <v>1815913.2</v>
      </c>
    </row>
    <row r="862" spans="1:7" x14ac:dyDescent="0.25">
      <c r="A862" s="1">
        <v>45017</v>
      </c>
      <c r="B862" t="s">
        <v>37</v>
      </c>
      <c r="C862" t="s">
        <v>185</v>
      </c>
      <c r="D862" s="2">
        <v>6730975.3399999999</v>
      </c>
      <c r="E862" s="2">
        <v>23686228.800000001</v>
      </c>
      <c r="F862" s="2">
        <v>22700010.969999999</v>
      </c>
      <c r="G862" s="2">
        <v>5014075.03</v>
      </c>
    </row>
    <row r="863" spans="1:7" x14ac:dyDescent="0.25">
      <c r="A863" s="1">
        <v>45017</v>
      </c>
      <c r="B863" t="s">
        <v>37</v>
      </c>
      <c r="C863" t="s">
        <v>186</v>
      </c>
      <c r="D863" s="2">
        <v>4339875.1500000004</v>
      </c>
      <c r="E863" s="2">
        <v>20516946.530000001</v>
      </c>
      <c r="F863" s="2">
        <v>20038220.699999999</v>
      </c>
      <c r="G863" s="2">
        <v>1084172.3700000001</v>
      </c>
    </row>
    <row r="864" spans="1:7" x14ac:dyDescent="0.25">
      <c r="A864" s="1">
        <v>45017</v>
      </c>
      <c r="B864" t="s">
        <v>37</v>
      </c>
      <c r="C864" t="s">
        <v>187</v>
      </c>
      <c r="D864" s="2">
        <v>9858636.0999999996</v>
      </c>
      <c r="E864" s="2">
        <v>20184124</v>
      </c>
      <c r="F864" s="2">
        <v>20098365.309999999</v>
      </c>
      <c r="G864" s="2">
        <v>639931.47</v>
      </c>
    </row>
    <row r="865" spans="1:7" x14ac:dyDescent="0.25">
      <c r="A865" s="1">
        <v>45017</v>
      </c>
      <c r="B865" t="s">
        <v>37</v>
      </c>
      <c r="C865" t="s">
        <v>188</v>
      </c>
      <c r="D865" s="2">
        <v>4563169.2800000003</v>
      </c>
      <c r="E865" s="2">
        <v>26150245.079999998</v>
      </c>
      <c r="F865" s="2">
        <v>25288642.079999998</v>
      </c>
      <c r="G865" s="2">
        <v>2144345.77</v>
      </c>
    </row>
    <row r="866" spans="1:7" x14ac:dyDescent="0.25">
      <c r="A866" s="1">
        <v>45017</v>
      </c>
      <c r="B866" t="s">
        <v>37</v>
      </c>
      <c r="C866" t="s">
        <v>189</v>
      </c>
      <c r="D866" s="2">
        <v>3567277.93</v>
      </c>
      <c r="E866" s="2">
        <v>35684435.909999996</v>
      </c>
      <c r="F866" s="2">
        <v>33550370.52</v>
      </c>
      <c r="G866" s="2">
        <v>2597542.9700000002</v>
      </c>
    </row>
    <row r="867" spans="1:7" x14ac:dyDescent="0.25">
      <c r="A867" s="1">
        <v>45017</v>
      </c>
      <c r="B867" t="s">
        <v>37</v>
      </c>
      <c r="C867" t="s">
        <v>190</v>
      </c>
      <c r="D867" s="2">
        <v>25948831.5</v>
      </c>
      <c r="E867" s="2">
        <v>28136332.370000001</v>
      </c>
      <c r="F867" s="2">
        <v>26476958.359999999</v>
      </c>
      <c r="G867" s="2">
        <v>1753573.67</v>
      </c>
    </row>
    <row r="868" spans="1:7" x14ac:dyDescent="0.25">
      <c r="A868" s="1">
        <v>45017</v>
      </c>
      <c r="B868" t="s">
        <v>37</v>
      </c>
      <c r="C868" t="s">
        <v>191</v>
      </c>
      <c r="D868" s="2">
        <v>259600548.65000001</v>
      </c>
      <c r="E868" s="2">
        <v>38404636.159999996</v>
      </c>
      <c r="F868" s="2">
        <v>38377723.490000002</v>
      </c>
      <c r="G868" s="2">
        <v>756328.48</v>
      </c>
    </row>
    <row r="869" spans="1:7" x14ac:dyDescent="0.25">
      <c r="A869" s="1">
        <v>45017</v>
      </c>
      <c r="B869" t="s">
        <v>192</v>
      </c>
      <c r="C869" t="s">
        <v>193</v>
      </c>
      <c r="D869" s="2">
        <v>33767576.350000001</v>
      </c>
      <c r="E869" s="2">
        <v>27901053.710000001</v>
      </c>
      <c r="F869" s="2">
        <v>27788359.27</v>
      </c>
      <c r="G869" s="2">
        <v>1079658.99</v>
      </c>
    </row>
    <row r="870" spans="1:7" x14ac:dyDescent="0.25">
      <c r="A870" s="1">
        <v>45017</v>
      </c>
      <c r="B870" t="s">
        <v>53</v>
      </c>
      <c r="C870" t="s">
        <v>194</v>
      </c>
      <c r="D870" s="2">
        <v>34953724.060000002</v>
      </c>
      <c r="E870" s="2">
        <v>107002834.02</v>
      </c>
      <c r="F870" s="2">
        <v>103869538.18000001</v>
      </c>
      <c r="G870" s="2">
        <v>8086821.1699999999</v>
      </c>
    </row>
    <row r="871" spans="1:7" x14ac:dyDescent="0.25">
      <c r="A871" s="1">
        <v>45017</v>
      </c>
      <c r="B871" t="s">
        <v>37</v>
      </c>
      <c r="C871" t="s">
        <v>195</v>
      </c>
      <c r="D871" s="2">
        <v>106236317.45999999</v>
      </c>
      <c r="E871" s="2">
        <v>18560268</v>
      </c>
      <c r="F871" s="2">
        <v>19352917.649999999</v>
      </c>
      <c r="G871" s="2">
        <v>51781884.880000003</v>
      </c>
    </row>
    <row r="872" spans="1:7" x14ac:dyDescent="0.25">
      <c r="A872" s="1">
        <v>45017</v>
      </c>
      <c r="B872" t="s">
        <v>192</v>
      </c>
      <c r="C872" t="s">
        <v>196</v>
      </c>
      <c r="D872" s="2">
        <v>107132047.73</v>
      </c>
      <c r="E872" s="2">
        <v>63993510.420000002</v>
      </c>
      <c r="F872" s="2">
        <v>61408811.340000004</v>
      </c>
      <c r="G872" s="2">
        <v>877183.02</v>
      </c>
    </row>
    <row r="873" spans="1:7" x14ac:dyDescent="0.25">
      <c r="A873" s="1">
        <v>45017</v>
      </c>
      <c r="B873" t="s">
        <v>61</v>
      </c>
      <c r="C873" t="s">
        <v>197</v>
      </c>
      <c r="D873" s="2">
        <v>14609112.380000001</v>
      </c>
      <c r="E873" s="2">
        <v>1479398.62</v>
      </c>
      <c r="F873" s="2">
        <v>1898997.5</v>
      </c>
      <c r="G873" s="2">
        <v>329790.38</v>
      </c>
    </row>
    <row r="874" spans="1:7" x14ac:dyDescent="0.25">
      <c r="A874" s="1">
        <v>45017</v>
      </c>
      <c r="B874" t="s">
        <v>125</v>
      </c>
      <c r="C874" t="s">
        <v>198</v>
      </c>
      <c r="D874" s="2">
        <v>510763548.38</v>
      </c>
      <c r="E874" s="2">
        <v>8074488684.8900003</v>
      </c>
      <c r="F874" s="2">
        <v>8112546147.6199999</v>
      </c>
      <c r="G874" s="2">
        <v>38033401.109999999</v>
      </c>
    </row>
    <row r="875" spans="1:7" x14ac:dyDescent="0.25">
      <c r="A875" s="1">
        <v>45017</v>
      </c>
      <c r="B875" t="s">
        <v>63</v>
      </c>
      <c r="C875" t="s">
        <v>199</v>
      </c>
      <c r="D875" s="2">
        <v>60621665.5</v>
      </c>
      <c r="E875" s="2">
        <v>298730917.88999999</v>
      </c>
      <c r="F875" s="2">
        <v>297051219.11000001</v>
      </c>
      <c r="G875" s="2">
        <v>138877891.88</v>
      </c>
    </row>
    <row r="876" spans="1:7" x14ac:dyDescent="0.25">
      <c r="A876" s="1">
        <v>45017</v>
      </c>
      <c r="B876" t="s">
        <v>9</v>
      </c>
      <c r="C876" t="s">
        <v>200</v>
      </c>
      <c r="D876" s="2">
        <v>239057284.93000001</v>
      </c>
      <c r="E876" s="2">
        <v>175510666.74000001</v>
      </c>
      <c r="F876" s="2">
        <v>175686618.16999999</v>
      </c>
      <c r="G876" s="2">
        <v>29436318.449999999</v>
      </c>
    </row>
    <row r="877" spans="1:7" x14ac:dyDescent="0.25">
      <c r="A877" s="1">
        <v>45017</v>
      </c>
      <c r="B877" t="s">
        <v>24</v>
      </c>
      <c r="C877" t="s">
        <v>201</v>
      </c>
      <c r="D877" s="2">
        <v>15564818.1</v>
      </c>
      <c r="E877" s="2">
        <v>13492028.01</v>
      </c>
      <c r="F877" s="2">
        <v>12690657.310000001</v>
      </c>
      <c r="G877" s="2">
        <v>2162580.7200000002</v>
      </c>
    </row>
    <row r="878" spans="1:7" x14ac:dyDescent="0.25">
      <c r="A878" s="1">
        <v>45017</v>
      </c>
      <c r="B878" t="s">
        <v>29</v>
      </c>
      <c r="C878" t="s">
        <v>202</v>
      </c>
      <c r="D878" s="2">
        <v>69690052.730000004</v>
      </c>
      <c r="E878" s="2">
        <v>35463526.109999999</v>
      </c>
      <c r="F878" s="2">
        <v>35967233.130000003</v>
      </c>
      <c r="G878" s="2">
        <v>66060577.57</v>
      </c>
    </row>
    <row r="879" spans="1:7" x14ac:dyDescent="0.25">
      <c r="A879" s="1">
        <v>45017</v>
      </c>
      <c r="B879" t="s">
        <v>37</v>
      </c>
      <c r="C879" t="s">
        <v>203</v>
      </c>
      <c r="D879" s="2">
        <v>111526443.20999999</v>
      </c>
      <c r="E879" s="2">
        <v>66513540.57</v>
      </c>
      <c r="F879" s="2">
        <v>66722454.18</v>
      </c>
      <c r="G879" s="2">
        <v>6005623.5300000003</v>
      </c>
    </row>
    <row r="880" spans="1:7" x14ac:dyDescent="0.25">
      <c r="A880" s="1">
        <v>45017</v>
      </c>
      <c r="B880" t="s">
        <v>45</v>
      </c>
      <c r="C880" t="s">
        <v>204</v>
      </c>
      <c r="D880" s="2">
        <v>63876665205.029999</v>
      </c>
      <c r="E880" s="2">
        <v>84210857852.710007</v>
      </c>
      <c r="F880" s="2">
        <v>84211811327.630005</v>
      </c>
      <c r="G880" s="2">
        <v>103031949.16</v>
      </c>
    </row>
    <row r="881" spans="1:7" x14ac:dyDescent="0.25">
      <c r="A881" s="1">
        <v>45017</v>
      </c>
      <c r="B881" t="s">
        <v>75</v>
      </c>
      <c r="C881" t="s">
        <v>205</v>
      </c>
      <c r="D881" s="2">
        <v>745783240.77999997</v>
      </c>
      <c r="E881" s="2">
        <v>2533885057.9200001</v>
      </c>
      <c r="F881" s="2">
        <v>2511691377.4699998</v>
      </c>
      <c r="G881" s="2">
        <v>145834170.24000001</v>
      </c>
    </row>
    <row r="882" spans="1:7" x14ac:dyDescent="0.25">
      <c r="A882" s="1">
        <v>45017</v>
      </c>
      <c r="B882" t="s">
        <v>206</v>
      </c>
      <c r="C882" t="s">
        <v>207</v>
      </c>
      <c r="D882" s="2">
        <v>130000</v>
      </c>
      <c r="E882" s="2">
        <v>75652.479999999996</v>
      </c>
      <c r="F882" s="2">
        <v>58198.58</v>
      </c>
      <c r="G882" s="2">
        <v>1737724.46</v>
      </c>
    </row>
    <row r="883" spans="1:7" x14ac:dyDescent="0.25">
      <c r="A883" s="1">
        <v>45017</v>
      </c>
      <c r="B883" t="s">
        <v>50</v>
      </c>
      <c r="C883" t="s">
        <v>208</v>
      </c>
      <c r="D883" s="2">
        <v>113935319.18000001</v>
      </c>
      <c r="E883" s="2">
        <v>238084911.31</v>
      </c>
      <c r="F883" s="2">
        <v>269658294.24000001</v>
      </c>
      <c r="G883" s="2">
        <v>416953973.36000001</v>
      </c>
    </row>
    <row r="884" spans="1:7" x14ac:dyDescent="0.25">
      <c r="A884" s="1">
        <v>45017</v>
      </c>
      <c r="B884" t="s">
        <v>31</v>
      </c>
      <c r="C884" t="s">
        <v>209</v>
      </c>
      <c r="D884" s="2">
        <v>82423047.599999994</v>
      </c>
      <c r="E884" s="2">
        <v>59806824.700000003</v>
      </c>
      <c r="F884" s="2">
        <v>60498605.640000001</v>
      </c>
      <c r="G884" s="2">
        <v>74023327.219999999</v>
      </c>
    </row>
    <row r="885" spans="1:7" x14ac:dyDescent="0.25">
      <c r="A885" s="1">
        <v>45017</v>
      </c>
      <c r="B885" t="s">
        <v>210</v>
      </c>
      <c r="C885" t="s">
        <v>211</v>
      </c>
      <c r="D885" s="2">
        <v>2150</v>
      </c>
      <c r="E885" s="2">
        <v>99521.19</v>
      </c>
      <c r="F885" s="2">
        <v>96422.34</v>
      </c>
      <c r="G885">
        <v>0</v>
      </c>
    </row>
    <row r="886" spans="1:7" x14ac:dyDescent="0.25">
      <c r="A886" s="1">
        <v>45017</v>
      </c>
      <c r="B886" t="s">
        <v>125</v>
      </c>
      <c r="C886" t="s">
        <v>212</v>
      </c>
      <c r="D886" s="2">
        <v>340303.86</v>
      </c>
      <c r="E886" s="2">
        <v>105959.55</v>
      </c>
      <c r="F886" s="2">
        <v>108842.89</v>
      </c>
      <c r="G886">
        <v>0</v>
      </c>
    </row>
    <row r="887" spans="1:7" x14ac:dyDescent="0.25">
      <c r="A887" s="1">
        <v>45017</v>
      </c>
      <c r="B887" t="s">
        <v>16</v>
      </c>
      <c r="C887" t="s">
        <v>213</v>
      </c>
      <c r="D887" s="2">
        <v>11167549273.68</v>
      </c>
      <c r="E887" s="2">
        <v>11390055524.67</v>
      </c>
      <c r="F887" s="2">
        <v>11188716307.790001</v>
      </c>
      <c r="G887" s="2">
        <v>1732518949.55</v>
      </c>
    </row>
    <row r="888" spans="1:7" x14ac:dyDescent="0.25">
      <c r="A888" s="1">
        <v>45017</v>
      </c>
      <c r="B888" t="s">
        <v>48</v>
      </c>
      <c r="C888" t="s">
        <v>214</v>
      </c>
      <c r="D888" s="2">
        <v>618825.75</v>
      </c>
      <c r="E888" s="2">
        <v>219039.37</v>
      </c>
      <c r="F888" s="2">
        <v>156205.5</v>
      </c>
      <c r="G888" s="2">
        <v>58070593.619999997</v>
      </c>
    </row>
    <row r="889" spans="1:7" x14ac:dyDescent="0.25">
      <c r="A889" s="1">
        <v>45017</v>
      </c>
      <c r="B889" t="s">
        <v>27</v>
      </c>
      <c r="C889" t="s">
        <v>215</v>
      </c>
      <c r="D889" s="2">
        <v>125382289.28</v>
      </c>
      <c r="E889" s="2">
        <v>7656715.7999999998</v>
      </c>
      <c r="F889" s="2">
        <v>6718637.4800000004</v>
      </c>
      <c r="G889" s="2">
        <v>45813722.030000001</v>
      </c>
    </row>
    <row r="890" spans="1:7" x14ac:dyDescent="0.25">
      <c r="A890" s="1">
        <v>45017</v>
      </c>
      <c r="B890" t="s">
        <v>216</v>
      </c>
      <c r="C890" t="s">
        <v>217</v>
      </c>
      <c r="D890">
        <v>0</v>
      </c>
      <c r="E890" s="2">
        <v>19581.43</v>
      </c>
      <c r="F890" s="2">
        <v>28825.29</v>
      </c>
      <c r="G890">
        <v>0</v>
      </c>
    </row>
    <row r="891" spans="1:7" x14ac:dyDescent="0.25">
      <c r="A891" s="1">
        <v>45017</v>
      </c>
      <c r="B891" t="s">
        <v>69</v>
      </c>
      <c r="C891" t="s">
        <v>218</v>
      </c>
      <c r="D891" s="2">
        <v>1115717453.0799999</v>
      </c>
      <c r="E891" s="2">
        <v>332579135.37</v>
      </c>
      <c r="F891" s="2">
        <v>332433124.27999997</v>
      </c>
      <c r="G891" s="2">
        <v>4650564.16</v>
      </c>
    </row>
    <row r="892" spans="1:7" x14ac:dyDescent="0.25">
      <c r="A892" s="1">
        <v>45017</v>
      </c>
      <c r="B892" t="s">
        <v>13</v>
      </c>
      <c r="C892" t="s">
        <v>219</v>
      </c>
      <c r="D892" s="2">
        <v>43146691.960000001</v>
      </c>
      <c r="E892" s="2">
        <v>22668160.670000002</v>
      </c>
      <c r="F892" s="2">
        <v>22720735.530000001</v>
      </c>
      <c r="G892" s="2">
        <v>1034192.41</v>
      </c>
    </row>
    <row r="893" spans="1:7" x14ac:dyDescent="0.25">
      <c r="A893" s="1">
        <v>45017</v>
      </c>
      <c r="B893" t="s">
        <v>53</v>
      </c>
      <c r="C893" t="s">
        <v>220</v>
      </c>
      <c r="D893" s="2">
        <v>144247.6</v>
      </c>
      <c r="E893" s="2">
        <v>244013.53</v>
      </c>
      <c r="F893" s="2">
        <v>230390.14</v>
      </c>
      <c r="G893" s="2">
        <v>3889374.18</v>
      </c>
    </row>
    <row r="894" spans="1:7" x14ac:dyDescent="0.25">
      <c r="A894" s="1">
        <v>45017</v>
      </c>
      <c r="B894" t="s">
        <v>130</v>
      </c>
      <c r="C894" t="s">
        <v>221</v>
      </c>
      <c r="D894" s="2">
        <v>46355185056.949997</v>
      </c>
      <c r="E894" s="2">
        <v>14647598633.23</v>
      </c>
      <c r="F894" s="2">
        <v>14645601763.129999</v>
      </c>
      <c r="G894" s="2">
        <v>29205189.850000001</v>
      </c>
    </row>
    <row r="895" spans="1:7" x14ac:dyDescent="0.25">
      <c r="A895" s="1">
        <v>45017</v>
      </c>
      <c r="B895" t="s">
        <v>192</v>
      </c>
      <c r="C895" t="s">
        <v>222</v>
      </c>
      <c r="D895" s="2">
        <v>253000</v>
      </c>
      <c r="E895" s="2">
        <v>162343.26999999999</v>
      </c>
      <c r="F895" s="2">
        <v>167177.94</v>
      </c>
      <c r="G895" s="2">
        <v>4030449.23</v>
      </c>
    </row>
    <row r="896" spans="1:7" x14ac:dyDescent="0.25">
      <c r="A896" s="1">
        <v>45017</v>
      </c>
      <c r="B896" t="s">
        <v>223</v>
      </c>
      <c r="C896" t="s">
        <v>224</v>
      </c>
      <c r="D896" s="2">
        <v>83993612.469999999</v>
      </c>
      <c r="E896" s="2">
        <v>979468.18</v>
      </c>
      <c r="F896" s="2">
        <v>974103.09</v>
      </c>
      <c r="G896" s="2">
        <v>47218964.609999999</v>
      </c>
    </row>
    <row r="897" spans="1:7" x14ac:dyDescent="0.25">
      <c r="A897" s="1">
        <v>45017</v>
      </c>
      <c r="B897" t="s">
        <v>22</v>
      </c>
      <c r="C897" t="s">
        <v>225</v>
      </c>
      <c r="D897" s="2">
        <v>19308782.579999998</v>
      </c>
      <c r="E897" s="2">
        <v>14600733.07</v>
      </c>
      <c r="F897" s="2">
        <v>14018812.439999999</v>
      </c>
      <c r="G897" s="2">
        <v>6134050.1600000001</v>
      </c>
    </row>
    <row r="898" spans="1:7" x14ac:dyDescent="0.25">
      <c r="A898" s="1">
        <v>45017</v>
      </c>
      <c r="B898" t="s">
        <v>77</v>
      </c>
      <c r="C898" t="s">
        <v>226</v>
      </c>
      <c r="D898" s="2">
        <v>145080480.38999999</v>
      </c>
      <c r="E898" s="2">
        <v>156699320.12</v>
      </c>
      <c r="F898" s="2">
        <v>156699320.12</v>
      </c>
      <c r="G898" s="2">
        <v>576903666.33000004</v>
      </c>
    </row>
    <row r="899" spans="1:7" x14ac:dyDescent="0.25">
      <c r="A899" s="1">
        <v>45017</v>
      </c>
      <c r="B899" t="s">
        <v>80</v>
      </c>
      <c r="C899" t="s">
        <v>227</v>
      </c>
      <c r="D899" s="2">
        <v>138739536.22</v>
      </c>
      <c r="E899" s="2">
        <v>293084933.36000001</v>
      </c>
      <c r="F899" s="2">
        <v>289810399.42000002</v>
      </c>
      <c r="G899" s="2">
        <v>5321632.7699999996</v>
      </c>
    </row>
    <row r="900" spans="1:7" x14ac:dyDescent="0.25">
      <c r="A900" s="1">
        <v>45017</v>
      </c>
      <c r="B900" t="s">
        <v>127</v>
      </c>
      <c r="C900" t="s">
        <v>228</v>
      </c>
      <c r="D900" s="2">
        <v>22244094.25</v>
      </c>
      <c r="E900" s="2">
        <v>13570066.390000001</v>
      </c>
      <c r="F900" s="2">
        <v>10613632.58</v>
      </c>
      <c r="G900" s="2">
        <v>18118002.850000001</v>
      </c>
    </row>
    <row r="901" spans="1:7" x14ac:dyDescent="0.25">
      <c r="A901" s="1">
        <v>45017</v>
      </c>
      <c r="B901" t="s">
        <v>140</v>
      </c>
      <c r="C901" t="s">
        <v>229</v>
      </c>
      <c r="D901" s="2">
        <v>46193475.82</v>
      </c>
      <c r="E901" s="2">
        <v>13435366.949999999</v>
      </c>
      <c r="F901" s="2">
        <v>12735925.68</v>
      </c>
      <c r="G901" s="2">
        <v>11777385.859999999</v>
      </c>
    </row>
    <row r="902" spans="1:7" x14ac:dyDescent="0.25">
      <c r="A902" s="1">
        <v>45017</v>
      </c>
      <c r="B902" t="s">
        <v>19</v>
      </c>
      <c r="C902" t="s">
        <v>230</v>
      </c>
      <c r="D902" s="2">
        <v>17014930.98</v>
      </c>
      <c r="E902" s="2">
        <v>30026018.059999999</v>
      </c>
      <c r="F902" s="2">
        <v>30322157.289999999</v>
      </c>
      <c r="G902" s="2">
        <v>2166135.2200000002</v>
      </c>
    </row>
    <row r="903" spans="1:7" x14ac:dyDescent="0.25">
      <c r="A903" s="1">
        <v>45017</v>
      </c>
      <c r="B903" t="s">
        <v>13</v>
      </c>
      <c r="C903" t="s">
        <v>231</v>
      </c>
      <c r="D903" s="2">
        <v>17682632.75</v>
      </c>
      <c r="E903" s="2">
        <v>36479456.850000001</v>
      </c>
      <c r="F903" s="2">
        <v>31803260.010000002</v>
      </c>
      <c r="G903" s="2">
        <v>146023.01</v>
      </c>
    </row>
    <row r="904" spans="1:7" x14ac:dyDescent="0.25">
      <c r="A904" s="1">
        <v>45017</v>
      </c>
      <c r="B904" t="s">
        <v>31</v>
      </c>
      <c r="C904" t="s">
        <v>232</v>
      </c>
      <c r="D904" s="2">
        <v>572088316.76999998</v>
      </c>
      <c r="E904" s="2">
        <v>677484543.82000005</v>
      </c>
      <c r="F904" s="2">
        <v>661872052.57000005</v>
      </c>
      <c r="G904" s="2">
        <v>29182307.219999999</v>
      </c>
    </row>
    <row r="905" spans="1:7" x14ac:dyDescent="0.25">
      <c r="A905" s="1">
        <v>45017</v>
      </c>
      <c r="B905" t="s">
        <v>31</v>
      </c>
      <c r="C905" t="s">
        <v>233</v>
      </c>
      <c r="D905" s="2">
        <v>25963200.550000001</v>
      </c>
      <c r="E905" s="2">
        <v>424126942.45999998</v>
      </c>
      <c r="F905" s="2">
        <v>415737305.64999998</v>
      </c>
      <c r="G905" s="2">
        <v>16624468.5</v>
      </c>
    </row>
    <row r="906" spans="1:7" x14ac:dyDescent="0.25">
      <c r="A906" s="1">
        <v>45017</v>
      </c>
      <c r="B906" t="s">
        <v>61</v>
      </c>
      <c r="C906" t="s">
        <v>234</v>
      </c>
      <c r="D906" s="2">
        <v>59868159.469999999</v>
      </c>
      <c r="E906" s="2">
        <v>87332024.640000001</v>
      </c>
      <c r="F906" s="2">
        <v>89821591.540000007</v>
      </c>
      <c r="G906" s="2">
        <v>3423374.63</v>
      </c>
    </row>
    <row r="907" spans="1:7" x14ac:dyDescent="0.25">
      <c r="A907" s="1">
        <v>45017</v>
      </c>
      <c r="B907" t="s">
        <v>22</v>
      </c>
      <c r="C907" t="s">
        <v>235</v>
      </c>
      <c r="D907" s="2">
        <v>928033.58</v>
      </c>
      <c r="E907" s="2">
        <v>255146.21</v>
      </c>
      <c r="F907" s="2">
        <v>263539.42</v>
      </c>
      <c r="G907" s="2">
        <v>439991.52</v>
      </c>
    </row>
    <row r="908" spans="1:7" x14ac:dyDescent="0.25">
      <c r="A908" s="1">
        <v>45017</v>
      </c>
      <c r="B908" t="s">
        <v>192</v>
      </c>
      <c r="C908" t="s">
        <v>236</v>
      </c>
      <c r="D908" s="2">
        <v>11514055.49</v>
      </c>
      <c r="E908" s="2">
        <v>11859426.800000001</v>
      </c>
      <c r="F908" s="2">
        <v>11698180.43</v>
      </c>
      <c r="G908" s="2">
        <v>378888.36</v>
      </c>
    </row>
    <row r="909" spans="1:7" x14ac:dyDescent="0.25">
      <c r="A909" s="1">
        <v>45017</v>
      </c>
      <c r="B909" t="s">
        <v>50</v>
      </c>
      <c r="C909" t="s">
        <v>237</v>
      </c>
      <c r="D909" s="2">
        <v>1122041.1000000001</v>
      </c>
      <c r="E909" s="2">
        <v>2410568.65</v>
      </c>
      <c r="F909" s="2">
        <v>2390279.17</v>
      </c>
      <c r="G909" s="2">
        <v>17425388.920000002</v>
      </c>
    </row>
    <row r="910" spans="1:7" x14ac:dyDescent="0.25">
      <c r="A910" s="1">
        <v>45017</v>
      </c>
      <c r="B910" t="s">
        <v>45</v>
      </c>
      <c r="C910" t="s">
        <v>238</v>
      </c>
      <c r="D910" s="2">
        <v>1467156.24</v>
      </c>
      <c r="E910" s="2">
        <v>17933872.629999999</v>
      </c>
      <c r="F910" s="2">
        <v>17859034.309999999</v>
      </c>
      <c r="G910" s="2">
        <v>30576.02</v>
      </c>
    </row>
    <row r="911" spans="1:7" x14ac:dyDescent="0.25">
      <c r="A911" s="1">
        <v>45017</v>
      </c>
      <c r="B911" t="s">
        <v>50</v>
      </c>
      <c r="C911" t="s">
        <v>239</v>
      </c>
      <c r="D911" s="2">
        <v>3228914.44</v>
      </c>
      <c r="E911" s="2">
        <v>2520591.7599999998</v>
      </c>
      <c r="F911" s="2">
        <v>2426287.8199999998</v>
      </c>
      <c r="G911" s="2">
        <v>12738101.26</v>
      </c>
    </row>
    <row r="912" spans="1:7" x14ac:dyDescent="0.25">
      <c r="A912" s="1">
        <v>45017</v>
      </c>
      <c r="B912" t="s">
        <v>50</v>
      </c>
      <c r="C912" t="s">
        <v>240</v>
      </c>
      <c r="D912" s="2">
        <v>3707674.31</v>
      </c>
      <c r="E912" s="2">
        <v>3756819.01</v>
      </c>
      <c r="F912" s="2">
        <v>3636988.9</v>
      </c>
      <c r="G912" s="2">
        <v>3670321.57</v>
      </c>
    </row>
    <row r="913" spans="1:7" x14ac:dyDescent="0.25">
      <c r="A913" s="1">
        <v>45017</v>
      </c>
      <c r="B913" t="s">
        <v>125</v>
      </c>
      <c r="C913" t="s">
        <v>241</v>
      </c>
      <c r="D913" s="2">
        <v>1311241.77</v>
      </c>
      <c r="E913" s="2">
        <v>2724370.83</v>
      </c>
      <c r="F913" s="2">
        <v>2961555.14</v>
      </c>
      <c r="G913" s="2">
        <v>12641.15</v>
      </c>
    </row>
    <row r="914" spans="1:7" x14ac:dyDescent="0.25">
      <c r="A914" s="1">
        <v>45017</v>
      </c>
      <c r="B914" t="s">
        <v>27</v>
      </c>
      <c r="C914" t="s">
        <v>242</v>
      </c>
      <c r="D914" s="2">
        <v>77230856.730000004</v>
      </c>
      <c r="E914" s="2">
        <v>37231879.030000001</v>
      </c>
      <c r="F914" s="2">
        <v>27287791.030000001</v>
      </c>
      <c r="G914" s="2">
        <v>23645255.670000002</v>
      </c>
    </row>
    <row r="915" spans="1:7" x14ac:dyDescent="0.25">
      <c r="A915" s="1">
        <v>45017</v>
      </c>
      <c r="B915" t="s">
        <v>37</v>
      </c>
      <c r="C915" t="s">
        <v>243</v>
      </c>
      <c r="D915" s="2">
        <v>4214196.07</v>
      </c>
      <c r="E915" s="2">
        <v>12804995.85</v>
      </c>
      <c r="F915" s="2">
        <v>12526386.029999999</v>
      </c>
      <c r="G915" s="2">
        <v>842734.67</v>
      </c>
    </row>
    <row r="916" spans="1:7" x14ac:dyDescent="0.25">
      <c r="A916" s="1">
        <v>45017</v>
      </c>
      <c r="B916" t="s">
        <v>37</v>
      </c>
      <c r="C916" t="s">
        <v>244</v>
      </c>
      <c r="D916" s="2">
        <v>47337373.880000003</v>
      </c>
      <c r="E916" s="2">
        <v>164558201.93000001</v>
      </c>
      <c r="F916" s="2">
        <v>159061661.13</v>
      </c>
      <c r="G916" s="2">
        <v>3711894.19</v>
      </c>
    </row>
    <row r="917" spans="1:7" x14ac:dyDescent="0.25">
      <c r="A917" s="1">
        <v>45017</v>
      </c>
      <c r="B917" t="s">
        <v>37</v>
      </c>
      <c r="C917" t="s">
        <v>245</v>
      </c>
      <c r="D917" s="2">
        <v>8813589.5899999999</v>
      </c>
      <c r="E917" s="2">
        <v>22038712.629999999</v>
      </c>
      <c r="F917" s="2">
        <v>21726839.82</v>
      </c>
      <c r="G917" s="2">
        <v>3553297.37</v>
      </c>
    </row>
    <row r="918" spans="1:7" x14ac:dyDescent="0.25">
      <c r="A918" s="1">
        <v>45017</v>
      </c>
      <c r="B918" t="s">
        <v>37</v>
      </c>
      <c r="C918" t="s">
        <v>246</v>
      </c>
      <c r="D918" s="2">
        <v>12270092.810000001</v>
      </c>
      <c r="E918" s="2">
        <v>13722616.76</v>
      </c>
      <c r="F918" s="2">
        <v>13908787.85</v>
      </c>
      <c r="G918" s="2">
        <v>395188.82</v>
      </c>
    </row>
    <row r="919" spans="1:7" x14ac:dyDescent="0.25">
      <c r="A919" s="1">
        <v>45017</v>
      </c>
      <c r="B919" t="s">
        <v>37</v>
      </c>
      <c r="C919" t="s">
        <v>247</v>
      </c>
      <c r="D919" s="2">
        <v>14441237.279999999</v>
      </c>
      <c r="E919" s="2">
        <v>152825429.97</v>
      </c>
      <c r="F919" s="2">
        <v>147655139.25999999</v>
      </c>
      <c r="G919" s="2">
        <v>1403610.55</v>
      </c>
    </row>
    <row r="920" spans="1:7" x14ac:dyDescent="0.25">
      <c r="A920" s="1">
        <v>45017</v>
      </c>
      <c r="B920" t="s">
        <v>37</v>
      </c>
      <c r="C920" t="s">
        <v>248</v>
      </c>
      <c r="D920" s="2">
        <v>36260968.880000003</v>
      </c>
      <c r="E920" s="2">
        <v>77080558.780000001</v>
      </c>
      <c r="F920" s="2">
        <v>76702354.810000002</v>
      </c>
      <c r="G920" s="2">
        <v>3224372.38</v>
      </c>
    </row>
    <row r="921" spans="1:7" x14ac:dyDescent="0.25">
      <c r="A921" s="1">
        <v>45017</v>
      </c>
      <c r="B921" t="s">
        <v>37</v>
      </c>
      <c r="C921" t="s">
        <v>249</v>
      </c>
      <c r="D921" s="2">
        <v>1238540.5900000001</v>
      </c>
      <c r="E921" s="2">
        <v>20451321.489999998</v>
      </c>
      <c r="F921" s="2">
        <v>19201328.829999998</v>
      </c>
      <c r="G921" s="2">
        <v>2002713.47</v>
      </c>
    </row>
    <row r="922" spans="1:7" x14ac:dyDescent="0.25">
      <c r="A922" s="1">
        <v>45017</v>
      </c>
      <c r="B922" t="s">
        <v>37</v>
      </c>
      <c r="C922" t="s">
        <v>250</v>
      </c>
      <c r="D922" s="2">
        <v>3011169.57</v>
      </c>
      <c r="E922" s="2">
        <v>58891665.210000001</v>
      </c>
      <c r="F922" s="2">
        <v>54539138.5</v>
      </c>
      <c r="G922" s="2">
        <v>3061368.91</v>
      </c>
    </row>
    <row r="923" spans="1:7" x14ac:dyDescent="0.25">
      <c r="A923" s="1">
        <v>45017</v>
      </c>
      <c r="B923" t="s">
        <v>37</v>
      </c>
      <c r="C923" t="s">
        <v>251</v>
      </c>
      <c r="D923" s="2">
        <v>3302966.2</v>
      </c>
      <c r="E923" s="2">
        <v>8213111.7400000002</v>
      </c>
      <c r="F923" s="2">
        <v>8342961.2199999997</v>
      </c>
      <c r="G923" s="2">
        <v>695113.58</v>
      </c>
    </row>
    <row r="924" spans="1:7" x14ac:dyDescent="0.25">
      <c r="A924" s="1">
        <v>45017</v>
      </c>
      <c r="B924" t="s">
        <v>37</v>
      </c>
      <c r="C924" t="s">
        <v>252</v>
      </c>
      <c r="D924" s="2">
        <v>45792430.409999996</v>
      </c>
      <c r="E924" s="2">
        <v>105751739.03</v>
      </c>
      <c r="F924" s="2">
        <v>104363299.83</v>
      </c>
      <c r="G924" s="2">
        <v>1703193.42</v>
      </c>
    </row>
    <row r="925" spans="1:7" x14ac:dyDescent="0.25">
      <c r="A925" s="1">
        <v>45017</v>
      </c>
      <c r="B925" t="s">
        <v>37</v>
      </c>
      <c r="C925" t="s">
        <v>253</v>
      </c>
      <c r="D925" s="2">
        <v>3561821.83</v>
      </c>
      <c r="E925" s="2">
        <v>18888067.960000001</v>
      </c>
      <c r="F925" s="2">
        <v>18678806.370000001</v>
      </c>
      <c r="G925" s="2">
        <v>1349246.13</v>
      </c>
    </row>
    <row r="926" spans="1:7" x14ac:dyDescent="0.25">
      <c r="A926" s="1">
        <v>45017</v>
      </c>
      <c r="B926" t="s">
        <v>37</v>
      </c>
      <c r="C926" t="s">
        <v>254</v>
      </c>
      <c r="D926" s="2">
        <v>2556281.46</v>
      </c>
      <c r="E926" s="2">
        <v>9615799.6999999993</v>
      </c>
      <c r="F926" s="2">
        <v>9608018.6500000004</v>
      </c>
      <c r="G926" s="2">
        <v>1919346.93</v>
      </c>
    </row>
    <row r="927" spans="1:7" x14ac:dyDescent="0.25">
      <c r="A927" s="1">
        <v>45017</v>
      </c>
      <c r="B927" t="s">
        <v>37</v>
      </c>
      <c r="C927" t="s">
        <v>255</v>
      </c>
      <c r="D927" s="2">
        <v>18581845.420000002</v>
      </c>
      <c r="E927" s="2">
        <v>85538266.319999993</v>
      </c>
      <c r="F927" s="2">
        <v>84673591.010000005</v>
      </c>
      <c r="G927" s="2">
        <v>2074565.01</v>
      </c>
    </row>
    <row r="928" spans="1:7" x14ac:dyDescent="0.25">
      <c r="A928" s="1">
        <v>45017</v>
      </c>
      <c r="B928" t="s">
        <v>37</v>
      </c>
      <c r="C928" t="s">
        <v>256</v>
      </c>
      <c r="D928" s="2">
        <v>26633280.800000001</v>
      </c>
      <c r="E928" s="2">
        <v>31131398.77</v>
      </c>
      <c r="F928" s="2">
        <v>32001150.390000001</v>
      </c>
      <c r="G928" s="2">
        <v>3271611.1</v>
      </c>
    </row>
    <row r="929" spans="1:7" x14ac:dyDescent="0.25">
      <c r="A929" s="1">
        <v>45017</v>
      </c>
      <c r="B929" t="s">
        <v>37</v>
      </c>
      <c r="C929" t="s">
        <v>257</v>
      </c>
      <c r="D929" s="2">
        <v>121992779.78</v>
      </c>
      <c r="E929" s="2">
        <v>197289114.97</v>
      </c>
      <c r="F929" s="2">
        <v>189826797.90000001</v>
      </c>
      <c r="G929" s="2">
        <v>4579520.58</v>
      </c>
    </row>
    <row r="930" spans="1:7" x14ac:dyDescent="0.25">
      <c r="A930" s="1">
        <v>45017</v>
      </c>
      <c r="B930" t="s">
        <v>37</v>
      </c>
      <c r="C930" t="s">
        <v>258</v>
      </c>
      <c r="D930" s="2">
        <v>7040966.9299999997</v>
      </c>
      <c r="E930" s="2">
        <v>37082681.380000003</v>
      </c>
      <c r="F930" s="2">
        <v>39516061.060000002</v>
      </c>
      <c r="G930" s="2">
        <v>2681238.65</v>
      </c>
    </row>
    <row r="931" spans="1:7" x14ac:dyDescent="0.25">
      <c r="A931" s="1">
        <v>45017</v>
      </c>
      <c r="B931" t="s">
        <v>37</v>
      </c>
      <c r="C931" t="s">
        <v>259</v>
      </c>
      <c r="D931" s="2">
        <v>23457395.530000001</v>
      </c>
      <c r="E931" s="2">
        <v>148882035.36000001</v>
      </c>
      <c r="F931" s="2">
        <v>142885799.87</v>
      </c>
      <c r="G931" s="2">
        <v>7417576.1699999999</v>
      </c>
    </row>
    <row r="932" spans="1:7" x14ac:dyDescent="0.25">
      <c r="A932" s="1">
        <v>45017</v>
      </c>
      <c r="B932" t="s">
        <v>37</v>
      </c>
      <c r="C932" t="s">
        <v>260</v>
      </c>
      <c r="D932" s="2">
        <v>861644.92</v>
      </c>
      <c r="E932" s="2">
        <v>7616278.25</v>
      </c>
      <c r="F932" s="2">
        <v>6945117.29</v>
      </c>
      <c r="G932" s="2">
        <v>970529.3</v>
      </c>
    </row>
    <row r="933" spans="1:7" x14ac:dyDescent="0.25">
      <c r="A933" s="1">
        <v>45017</v>
      </c>
      <c r="B933" t="s">
        <v>37</v>
      </c>
      <c r="C933" t="s">
        <v>261</v>
      </c>
      <c r="D933" s="2">
        <v>9279454.1600000001</v>
      </c>
      <c r="E933" s="2">
        <v>18652222.649999999</v>
      </c>
      <c r="F933" s="2">
        <v>18655395.210000001</v>
      </c>
      <c r="G933" s="2">
        <v>1992667.79</v>
      </c>
    </row>
    <row r="934" spans="1:7" x14ac:dyDescent="0.25">
      <c r="A934" s="1">
        <v>45017</v>
      </c>
      <c r="B934" t="s">
        <v>37</v>
      </c>
      <c r="C934" t="s">
        <v>262</v>
      </c>
      <c r="D934" s="2">
        <v>41336463.450000003</v>
      </c>
      <c r="E934" s="2">
        <v>152813695.18000001</v>
      </c>
      <c r="F934" s="2">
        <v>150486624.21000001</v>
      </c>
      <c r="G934" s="2">
        <v>19276924.030000001</v>
      </c>
    </row>
    <row r="935" spans="1:7" x14ac:dyDescent="0.25">
      <c r="A935" s="1">
        <v>45017</v>
      </c>
      <c r="B935" t="s">
        <v>37</v>
      </c>
      <c r="C935" t="s">
        <v>263</v>
      </c>
      <c r="D935" s="2">
        <v>12480258.35</v>
      </c>
      <c r="E935" s="2">
        <v>117480087.48</v>
      </c>
      <c r="F935" s="2">
        <v>116094020.45999999</v>
      </c>
      <c r="G935" s="2">
        <v>3095507.59</v>
      </c>
    </row>
    <row r="936" spans="1:7" x14ac:dyDescent="0.25">
      <c r="A936" s="1">
        <v>45017</v>
      </c>
      <c r="B936" t="s">
        <v>37</v>
      </c>
      <c r="C936" t="s">
        <v>264</v>
      </c>
      <c r="D936" s="2">
        <v>8400677</v>
      </c>
      <c r="E936" s="2">
        <v>114621511.43000001</v>
      </c>
      <c r="F936" s="2">
        <v>114012140.40000001</v>
      </c>
      <c r="G936" s="2">
        <v>5091505.1100000003</v>
      </c>
    </row>
    <row r="937" spans="1:7" x14ac:dyDescent="0.25">
      <c r="A937" s="1">
        <v>45017</v>
      </c>
      <c r="B937" t="s">
        <v>37</v>
      </c>
      <c r="C937" t="s">
        <v>265</v>
      </c>
      <c r="D937" s="2">
        <v>10069947.5</v>
      </c>
      <c r="E937" s="2">
        <v>76994443.349999994</v>
      </c>
      <c r="F937" s="2">
        <v>74120674.349999994</v>
      </c>
      <c r="G937" s="2">
        <v>4674443.3899999997</v>
      </c>
    </row>
    <row r="938" spans="1:7" x14ac:dyDescent="0.25">
      <c r="A938" s="1">
        <v>45017</v>
      </c>
      <c r="B938" t="s">
        <v>37</v>
      </c>
      <c r="C938" t="s">
        <v>266</v>
      </c>
      <c r="D938" s="2">
        <v>6374600</v>
      </c>
      <c r="E938" s="2">
        <v>4745126.05</v>
      </c>
      <c r="F938" s="2">
        <v>4636902.5199999996</v>
      </c>
      <c r="G938" s="2">
        <v>41771.980000000003</v>
      </c>
    </row>
    <row r="939" spans="1:7" x14ac:dyDescent="0.25">
      <c r="A939" s="1">
        <v>45017</v>
      </c>
      <c r="B939" t="s">
        <v>37</v>
      </c>
      <c r="C939" t="s">
        <v>267</v>
      </c>
      <c r="D939" s="2">
        <v>8464504.0700000003</v>
      </c>
      <c r="E939" s="2">
        <v>10470589</v>
      </c>
      <c r="F939" s="2">
        <v>9410266.5199999996</v>
      </c>
      <c r="G939" s="2">
        <v>1968322.77</v>
      </c>
    </row>
    <row r="940" spans="1:7" x14ac:dyDescent="0.25">
      <c r="A940" s="1">
        <v>45017</v>
      </c>
      <c r="B940" t="s">
        <v>37</v>
      </c>
      <c r="C940" t="s">
        <v>268</v>
      </c>
      <c r="D940" s="2">
        <v>63142230.090000004</v>
      </c>
      <c r="E940" s="2">
        <v>137725779.31999999</v>
      </c>
      <c r="F940" s="2">
        <v>130490111.04000001</v>
      </c>
      <c r="G940" s="2">
        <v>1748845.96</v>
      </c>
    </row>
    <row r="941" spans="1:7" x14ac:dyDescent="0.25">
      <c r="A941" s="1">
        <v>45017</v>
      </c>
      <c r="B941" t="s">
        <v>37</v>
      </c>
      <c r="C941" t="s">
        <v>269</v>
      </c>
      <c r="D941" s="2">
        <v>8438850.1600000001</v>
      </c>
      <c r="E941" s="2">
        <v>6466413.29</v>
      </c>
      <c r="F941" s="2">
        <v>6254697.4000000004</v>
      </c>
      <c r="G941" s="2">
        <v>404670.58</v>
      </c>
    </row>
    <row r="942" spans="1:7" x14ac:dyDescent="0.25">
      <c r="A942" s="1">
        <v>45017</v>
      </c>
      <c r="B942" t="s">
        <v>37</v>
      </c>
      <c r="C942" t="s">
        <v>270</v>
      </c>
      <c r="D942" s="2">
        <v>12699069.43</v>
      </c>
      <c r="E942" s="2">
        <v>86536502.430000007</v>
      </c>
      <c r="F942" s="2">
        <v>85504574.280000001</v>
      </c>
      <c r="G942" s="2">
        <v>3259610.83</v>
      </c>
    </row>
    <row r="943" spans="1:7" x14ac:dyDescent="0.25">
      <c r="A943" s="1">
        <v>45017</v>
      </c>
      <c r="B943" t="s">
        <v>37</v>
      </c>
      <c r="C943" t="s">
        <v>271</v>
      </c>
      <c r="D943" s="2">
        <v>6191577.8300000001</v>
      </c>
      <c r="E943" s="2">
        <v>46239336.460000001</v>
      </c>
      <c r="F943" s="2">
        <v>44065436</v>
      </c>
      <c r="G943" s="2">
        <v>14268854.880000001</v>
      </c>
    </row>
    <row r="944" spans="1:7" x14ac:dyDescent="0.25">
      <c r="A944" s="1">
        <v>45017</v>
      </c>
      <c r="B944" t="s">
        <v>37</v>
      </c>
      <c r="C944" t="s">
        <v>272</v>
      </c>
      <c r="D944" s="2">
        <v>157270.51</v>
      </c>
      <c r="E944" s="2">
        <v>529717.93999999994</v>
      </c>
      <c r="F944" s="2">
        <v>142295.35</v>
      </c>
      <c r="G944" s="2">
        <v>271794.21999999997</v>
      </c>
    </row>
    <row r="945" spans="1:7" x14ac:dyDescent="0.25">
      <c r="A945" s="1">
        <v>45017</v>
      </c>
      <c r="B945" t="s">
        <v>37</v>
      </c>
      <c r="C945" t="s">
        <v>273</v>
      </c>
      <c r="D945" s="2">
        <v>9696377.7899999991</v>
      </c>
      <c r="E945" s="2">
        <v>9211914.75</v>
      </c>
      <c r="F945" s="2">
        <v>9061622.6999999993</v>
      </c>
      <c r="G945" s="2">
        <v>581698.59</v>
      </c>
    </row>
    <row r="946" spans="1:7" x14ac:dyDescent="0.25">
      <c r="A946" s="1">
        <v>45017</v>
      </c>
      <c r="B946" t="s">
        <v>37</v>
      </c>
      <c r="C946" t="s">
        <v>274</v>
      </c>
      <c r="D946" s="2">
        <v>4397524.96</v>
      </c>
      <c r="E946" s="2">
        <v>16709633.84</v>
      </c>
      <c r="F946" s="2">
        <v>15419804.609999999</v>
      </c>
      <c r="G946" s="2">
        <v>1433740.09</v>
      </c>
    </row>
    <row r="947" spans="1:7" x14ac:dyDescent="0.25">
      <c r="A947" s="1">
        <v>45017</v>
      </c>
      <c r="B947" t="s">
        <v>37</v>
      </c>
      <c r="C947" t="s">
        <v>275</v>
      </c>
      <c r="D947" s="2">
        <v>25787584.16</v>
      </c>
      <c r="E947" s="2">
        <v>148896121.61000001</v>
      </c>
      <c r="F947" s="2">
        <v>147611512.15000001</v>
      </c>
      <c r="G947" s="2">
        <v>854111.18</v>
      </c>
    </row>
    <row r="948" spans="1:7" x14ac:dyDescent="0.25">
      <c r="A948" s="1">
        <v>45017</v>
      </c>
      <c r="B948" t="s">
        <v>37</v>
      </c>
      <c r="C948" t="s">
        <v>276</v>
      </c>
      <c r="D948" s="2">
        <v>47272909.18</v>
      </c>
      <c r="E948" s="2">
        <v>140151535.94999999</v>
      </c>
      <c r="F948" s="2">
        <v>122424523.93000001</v>
      </c>
      <c r="G948" s="2">
        <v>5834072.3799999999</v>
      </c>
    </row>
    <row r="949" spans="1:7" x14ac:dyDescent="0.25">
      <c r="A949" s="1">
        <v>45017</v>
      </c>
      <c r="B949" t="s">
        <v>37</v>
      </c>
      <c r="C949" t="s">
        <v>277</v>
      </c>
      <c r="D949" s="2">
        <v>15015249.609999999</v>
      </c>
      <c r="E949" s="2">
        <v>26962700.52</v>
      </c>
      <c r="F949" s="2">
        <v>26493384.77</v>
      </c>
      <c r="G949" s="2">
        <v>1164833.96</v>
      </c>
    </row>
    <row r="950" spans="1:7" x14ac:dyDescent="0.25">
      <c r="A950" s="1">
        <v>45017</v>
      </c>
      <c r="B950" t="s">
        <v>37</v>
      </c>
      <c r="C950" t="s">
        <v>278</v>
      </c>
      <c r="D950" s="2">
        <v>128876837.48999999</v>
      </c>
      <c r="E950" s="2">
        <v>340921579.31999999</v>
      </c>
      <c r="F950" s="2">
        <v>317825805.91000003</v>
      </c>
      <c r="G950" s="2">
        <v>6774918.5099999998</v>
      </c>
    </row>
    <row r="951" spans="1:7" x14ac:dyDescent="0.25">
      <c r="A951" s="1">
        <v>45017</v>
      </c>
      <c r="B951" t="s">
        <v>37</v>
      </c>
      <c r="C951" t="s">
        <v>279</v>
      </c>
      <c r="D951" s="2">
        <v>17572316.829999998</v>
      </c>
      <c r="E951" s="2">
        <v>51215794.240000002</v>
      </c>
      <c r="F951" s="2">
        <v>48620659.890000001</v>
      </c>
      <c r="G951" s="2">
        <v>837465.81</v>
      </c>
    </row>
    <row r="952" spans="1:7" x14ac:dyDescent="0.25">
      <c r="A952" s="1">
        <v>45017</v>
      </c>
      <c r="B952" t="s">
        <v>37</v>
      </c>
      <c r="C952" t="s">
        <v>280</v>
      </c>
      <c r="D952" s="2">
        <v>34778531.130000003</v>
      </c>
      <c r="E952" s="2">
        <v>146892591.96000001</v>
      </c>
      <c r="F952" s="2">
        <v>145938850.47</v>
      </c>
      <c r="G952" s="2">
        <v>4526697.33</v>
      </c>
    </row>
    <row r="953" spans="1:7" x14ac:dyDescent="0.25">
      <c r="A953" s="1">
        <v>45017</v>
      </c>
      <c r="B953" t="s">
        <v>37</v>
      </c>
      <c r="C953" t="s">
        <v>281</v>
      </c>
      <c r="D953" s="2">
        <v>25464417.059999999</v>
      </c>
      <c r="E953" s="2">
        <v>155459018.25</v>
      </c>
      <c r="F953" s="2">
        <v>153671732.97999999</v>
      </c>
      <c r="G953" s="2">
        <v>4584939.96</v>
      </c>
    </row>
    <row r="954" spans="1:7" x14ac:dyDescent="0.25">
      <c r="A954" s="1">
        <v>45017</v>
      </c>
      <c r="B954" t="s">
        <v>37</v>
      </c>
      <c r="C954" t="s">
        <v>282</v>
      </c>
      <c r="D954" s="2">
        <v>3778195.41</v>
      </c>
      <c r="E954" s="2">
        <v>10201261.890000001</v>
      </c>
      <c r="F954" s="2">
        <v>7842083.6299999999</v>
      </c>
      <c r="G954" s="2">
        <v>162568.38</v>
      </c>
    </row>
    <row r="955" spans="1:7" x14ac:dyDescent="0.25">
      <c r="A955" s="1">
        <v>45017</v>
      </c>
      <c r="B955" t="s">
        <v>37</v>
      </c>
      <c r="C955" t="s">
        <v>283</v>
      </c>
      <c r="D955" s="2">
        <v>8793244.2100000009</v>
      </c>
      <c r="E955" s="2">
        <v>13005607.470000001</v>
      </c>
      <c r="F955" s="2">
        <v>11577505.939999999</v>
      </c>
      <c r="G955" s="2">
        <v>1469739.33</v>
      </c>
    </row>
    <row r="956" spans="1:7" x14ac:dyDescent="0.25">
      <c r="A956" s="1">
        <v>45017</v>
      </c>
      <c r="B956" t="s">
        <v>37</v>
      </c>
      <c r="C956" t="s">
        <v>284</v>
      </c>
      <c r="D956" s="2">
        <v>2441368.9</v>
      </c>
      <c r="E956" s="2">
        <v>43337824.140000001</v>
      </c>
      <c r="F956" s="2">
        <v>42617149.210000001</v>
      </c>
      <c r="G956" s="2">
        <v>2347374.7599999998</v>
      </c>
    </row>
    <row r="957" spans="1:7" x14ac:dyDescent="0.25">
      <c r="A957" s="1">
        <v>45017</v>
      </c>
      <c r="B957" t="s">
        <v>37</v>
      </c>
      <c r="C957" t="s">
        <v>285</v>
      </c>
      <c r="D957" s="2">
        <v>17774754.210000001</v>
      </c>
      <c r="E957" s="2">
        <v>24136330.800000001</v>
      </c>
      <c r="F957" s="2">
        <v>23767933.609999999</v>
      </c>
      <c r="G957" s="2">
        <v>1503401.17</v>
      </c>
    </row>
    <row r="958" spans="1:7" x14ac:dyDescent="0.25">
      <c r="A958" s="1">
        <v>45017</v>
      </c>
      <c r="B958" t="s">
        <v>37</v>
      </c>
      <c r="C958" t="s">
        <v>286</v>
      </c>
      <c r="D958" s="2">
        <v>258184507.66999999</v>
      </c>
      <c r="E958" s="2">
        <v>179260778.97</v>
      </c>
      <c r="F958" s="2">
        <v>176773472.93000001</v>
      </c>
      <c r="G958" s="2">
        <v>9653599.1600000001</v>
      </c>
    </row>
    <row r="959" spans="1:7" x14ac:dyDescent="0.25">
      <c r="A959" s="1">
        <v>45017</v>
      </c>
      <c r="B959" t="s">
        <v>37</v>
      </c>
      <c r="C959" t="s">
        <v>287</v>
      </c>
      <c r="D959" s="2">
        <v>120201818.63</v>
      </c>
      <c r="E959" s="2">
        <v>19517563.18</v>
      </c>
      <c r="F959" s="2">
        <v>19270455.469999999</v>
      </c>
      <c r="G959" s="2">
        <v>1957570.46</v>
      </c>
    </row>
    <row r="960" spans="1:7" x14ac:dyDescent="0.25">
      <c r="A960" s="1">
        <v>45017</v>
      </c>
      <c r="B960" t="s">
        <v>37</v>
      </c>
      <c r="C960" t="s">
        <v>288</v>
      </c>
      <c r="D960" s="2">
        <v>64871057.359999999</v>
      </c>
      <c r="E960" s="2">
        <v>51558142.5</v>
      </c>
      <c r="F960" s="2">
        <v>50107085.240000002</v>
      </c>
      <c r="G960" s="2">
        <v>1633867.94</v>
      </c>
    </row>
    <row r="961" spans="1:7" x14ac:dyDescent="0.25">
      <c r="A961" s="1">
        <v>45017</v>
      </c>
      <c r="B961" t="s">
        <v>37</v>
      </c>
      <c r="C961" t="s">
        <v>289</v>
      </c>
      <c r="D961" s="2">
        <v>2492590.46</v>
      </c>
      <c r="E961" s="2">
        <v>55840056.149999999</v>
      </c>
      <c r="F961" s="2">
        <v>57567917.25</v>
      </c>
      <c r="G961" s="2">
        <v>6065330.9400000004</v>
      </c>
    </row>
    <row r="962" spans="1:7" x14ac:dyDescent="0.25">
      <c r="A962" s="1">
        <v>45017</v>
      </c>
      <c r="B962" t="s">
        <v>37</v>
      </c>
      <c r="C962" t="s">
        <v>290</v>
      </c>
      <c r="D962" s="2">
        <v>22977459.34</v>
      </c>
      <c r="E962" s="2">
        <v>25968209.91</v>
      </c>
      <c r="F962" s="2">
        <v>25626223.27</v>
      </c>
      <c r="G962" s="2">
        <v>1319701.71</v>
      </c>
    </row>
    <row r="963" spans="1:7" x14ac:dyDescent="0.25">
      <c r="A963" s="1">
        <v>45017</v>
      </c>
      <c r="B963" t="s">
        <v>37</v>
      </c>
      <c r="C963" t="s">
        <v>291</v>
      </c>
      <c r="D963" s="2">
        <v>9168531.3200000003</v>
      </c>
      <c r="E963" s="2">
        <v>77442644.75</v>
      </c>
      <c r="F963" s="2">
        <v>74722417.890000001</v>
      </c>
      <c r="G963" s="2">
        <v>8361601.6799999997</v>
      </c>
    </row>
    <row r="964" spans="1:7" x14ac:dyDescent="0.25">
      <c r="A964" s="1">
        <v>45017</v>
      </c>
      <c r="B964" t="s">
        <v>19</v>
      </c>
      <c r="C964" t="s">
        <v>292</v>
      </c>
      <c r="D964" s="2">
        <v>16924475.719999999</v>
      </c>
      <c r="E964" s="2">
        <v>16979653.629999999</v>
      </c>
      <c r="F964" s="2">
        <v>16931382.27</v>
      </c>
      <c r="G964" s="2">
        <v>3774131.56</v>
      </c>
    </row>
    <row r="965" spans="1:7" x14ac:dyDescent="0.25">
      <c r="A965" s="1">
        <v>45047</v>
      </c>
      <c r="B965" t="s">
        <v>7</v>
      </c>
      <c r="C965" t="s">
        <v>8</v>
      </c>
      <c r="D965" s="2">
        <v>9869988.25</v>
      </c>
      <c r="E965" s="2">
        <v>340137876.44999999</v>
      </c>
      <c r="F965" s="2">
        <v>298181469.5</v>
      </c>
      <c r="G965" s="2">
        <v>2588806.08</v>
      </c>
    </row>
    <row r="966" spans="1:7" x14ac:dyDescent="0.25">
      <c r="A966" s="1">
        <v>45047</v>
      </c>
      <c r="B966" t="s">
        <v>9</v>
      </c>
      <c r="C966" t="s">
        <v>10</v>
      </c>
      <c r="D966" s="2">
        <v>317208.33</v>
      </c>
      <c r="E966" s="2">
        <v>1790319.23</v>
      </c>
      <c r="F966" s="2">
        <v>1612375.92</v>
      </c>
      <c r="G966" s="2">
        <v>2025612.11</v>
      </c>
    </row>
    <row r="967" spans="1:7" x14ac:dyDescent="0.25">
      <c r="A967" s="1">
        <v>45047</v>
      </c>
      <c r="B967" t="s">
        <v>11</v>
      </c>
      <c r="C967" t="s">
        <v>12</v>
      </c>
      <c r="D967" s="2">
        <v>12378459.66</v>
      </c>
      <c r="E967" s="2">
        <v>40065856.5</v>
      </c>
      <c r="F967" s="2">
        <v>39690890.670000002</v>
      </c>
      <c r="G967" s="2">
        <v>390666.78</v>
      </c>
    </row>
    <row r="968" spans="1:7" x14ac:dyDescent="0.25">
      <c r="A968" s="1">
        <v>45047</v>
      </c>
      <c r="B968" t="s">
        <v>13</v>
      </c>
      <c r="C968" t="s">
        <v>14</v>
      </c>
      <c r="D968" s="2">
        <v>13594057.99</v>
      </c>
      <c r="E968" s="2">
        <v>653844507.10000002</v>
      </c>
      <c r="F968" s="2">
        <v>651728523.38999999</v>
      </c>
      <c r="G968" s="2">
        <v>2837765.46</v>
      </c>
    </row>
    <row r="969" spans="1:7" x14ac:dyDescent="0.25">
      <c r="A969" s="1">
        <v>45047</v>
      </c>
      <c r="B969" t="s">
        <v>13</v>
      </c>
      <c r="C969" t="s">
        <v>15</v>
      </c>
      <c r="D969" s="2">
        <v>9721291.0700000003</v>
      </c>
      <c r="E969" s="2">
        <v>462615347.12</v>
      </c>
      <c r="F969" s="2">
        <v>458736556.56</v>
      </c>
      <c r="G969" s="2">
        <v>88046122.700000003</v>
      </c>
    </row>
    <row r="970" spans="1:7" x14ac:dyDescent="0.25">
      <c r="A970" s="1">
        <v>45047</v>
      </c>
      <c r="B970" t="s">
        <v>16</v>
      </c>
      <c r="C970" t="s">
        <v>17</v>
      </c>
      <c r="D970" s="2">
        <v>10712904.33</v>
      </c>
      <c r="E970" s="2">
        <v>25790809.23</v>
      </c>
      <c r="F970" s="2">
        <v>21560681.43</v>
      </c>
      <c r="G970" s="2">
        <v>23081.22</v>
      </c>
    </row>
    <row r="971" spans="1:7" x14ac:dyDescent="0.25">
      <c r="A971" s="1">
        <v>45047</v>
      </c>
      <c r="B971" t="s">
        <v>11</v>
      </c>
      <c r="C971" t="s">
        <v>18</v>
      </c>
      <c r="D971" s="2">
        <v>15597977.07</v>
      </c>
      <c r="E971" s="2">
        <v>13318303.92</v>
      </c>
      <c r="F971" s="2">
        <v>11451863.050000001</v>
      </c>
      <c r="G971" s="2">
        <v>29523.46</v>
      </c>
    </row>
    <row r="972" spans="1:7" x14ac:dyDescent="0.25">
      <c r="A972" s="1">
        <v>45047</v>
      </c>
      <c r="B972" t="s">
        <v>19</v>
      </c>
      <c r="C972" t="s">
        <v>20</v>
      </c>
      <c r="D972" s="2">
        <v>61210031.829999998</v>
      </c>
      <c r="E972" s="2">
        <v>46311175.859999999</v>
      </c>
      <c r="F972" s="2">
        <v>38856817.68</v>
      </c>
      <c r="G972" s="2">
        <v>6423053.4900000002</v>
      </c>
    </row>
    <row r="973" spans="1:7" x14ac:dyDescent="0.25">
      <c r="A973" s="1">
        <v>45047</v>
      </c>
      <c r="B973" t="s">
        <v>16</v>
      </c>
      <c r="C973" t="s">
        <v>21</v>
      </c>
      <c r="D973" s="2">
        <v>117510445.84999999</v>
      </c>
      <c r="E973" s="2">
        <v>62083832.899999999</v>
      </c>
      <c r="F973" s="2">
        <v>51708463.409999996</v>
      </c>
      <c r="G973" s="2">
        <v>91185.24</v>
      </c>
    </row>
    <row r="974" spans="1:7" x14ac:dyDescent="0.25">
      <c r="A974" s="1">
        <v>45047</v>
      </c>
      <c r="B974" t="s">
        <v>22</v>
      </c>
      <c r="C974" t="s">
        <v>23</v>
      </c>
      <c r="D974" s="2">
        <v>171648707.59999999</v>
      </c>
      <c r="E974" s="2">
        <v>42590310.590000004</v>
      </c>
      <c r="F974" s="2">
        <v>43130499.560000002</v>
      </c>
      <c r="G974" s="2">
        <v>5778908.2300000004</v>
      </c>
    </row>
    <row r="975" spans="1:7" x14ac:dyDescent="0.25">
      <c r="A975" s="1">
        <v>45047</v>
      </c>
      <c r="B975" t="s">
        <v>24</v>
      </c>
      <c r="C975" t="s">
        <v>25</v>
      </c>
      <c r="D975" s="2">
        <v>2193191.52</v>
      </c>
      <c r="E975" s="2">
        <v>10959931.310000001</v>
      </c>
      <c r="F975" s="2">
        <v>9609678.6999999993</v>
      </c>
      <c r="G975" s="2">
        <v>202064866.18000001</v>
      </c>
    </row>
    <row r="976" spans="1:7" x14ac:dyDescent="0.25">
      <c r="A976" s="1">
        <v>45047</v>
      </c>
      <c r="B976" t="s">
        <v>13</v>
      </c>
      <c r="C976" t="s">
        <v>26</v>
      </c>
      <c r="D976" s="2">
        <v>7339747450.8999996</v>
      </c>
      <c r="E976" s="2">
        <v>7417031967.2600002</v>
      </c>
      <c r="F976" s="2">
        <v>7413628132.8500004</v>
      </c>
      <c r="G976" s="2">
        <v>2645478.33</v>
      </c>
    </row>
    <row r="977" spans="1:7" x14ac:dyDescent="0.25">
      <c r="A977" s="1">
        <v>45047</v>
      </c>
      <c r="B977" t="s">
        <v>27</v>
      </c>
      <c r="C977" t="s">
        <v>28</v>
      </c>
      <c r="D977" s="2">
        <v>11738093</v>
      </c>
      <c r="E977" s="2">
        <v>45726741.439999998</v>
      </c>
      <c r="F977" s="2">
        <v>39016755.310000002</v>
      </c>
      <c r="G977" s="2">
        <v>2494292.9300000002</v>
      </c>
    </row>
    <row r="978" spans="1:7" x14ac:dyDescent="0.25">
      <c r="A978" s="1">
        <v>45047</v>
      </c>
      <c r="B978" t="s">
        <v>29</v>
      </c>
      <c r="C978" t="s">
        <v>30</v>
      </c>
      <c r="D978" s="2">
        <v>40857519.340000004</v>
      </c>
      <c r="E978" s="2">
        <v>38425081.020000003</v>
      </c>
      <c r="F978" s="2">
        <v>32465799.109999999</v>
      </c>
      <c r="G978" s="2">
        <v>6030780.1799999997</v>
      </c>
    </row>
    <row r="979" spans="1:7" x14ac:dyDescent="0.25">
      <c r="A979" s="1">
        <v>45047</v>
      </c>
      <c r="B979" t="s">
        <v>31</v>
      </c>
      <c r="C979" t="s">
        <v>32</v>
      </c>
      <c r="D979" s="2">
        <v>1961944.49</v>
      </c>
      <c r="E979" s="2">
        <v>289099.23</v>
      </c>
      <c r="F979" s="2">
        <v>342988.93</v>
      </c>
      <c r="G979" s="2">
        <v>419980</v>
      </c>
    </row>
    <row r="980" spans="1:7" x14ac:dyDescent="0.25">
      <c r="A980" s="1">
        <v>45047</v>
      </c>
      <c r="B980" t="s">
        <v>33</v>
      </c>
      <c r="C980" t="s">
        <v>34</v>
      </c>
      <c r="D980" s="2">
        <v>407835100.47000003</v>
      </c>
      <c r="E980" s="2">
        <v>326452882.64999998</v>
      </c>
      <c r="F980" s="2">
        <v>401082336.20999998</v>
      </c>
      <c r="G980" s="2">
        <v>5850313.1200000001</v>
      </c>
    </row>
    <row r="981" spans="1:7" x14ac:dyDescent="0.25">
      <c r="A981" s="1">
        <v>45047</v>
      </c>
      <c r="B981" t="s">
        <v>29</v>
      </c>
      <c r="C981" t="s">
        <v>35</v>
      </c>
      <c r="D981" s="2">
        <v>112318.73</v>
      </c>
      <c r="E981" s="2">
        <v>10719226.75</v>
      </c>
      <c r="F981" s="2">
        <v>10713511.939999999</v>
      </c>
      <c r="G981" s="2">
        <v>13323391.77</v>
      </c>
    </row>
    <row r="982" spans="1:7" x14ac:dyDescent="0.25">
      <c r="A982" s="1">
        <v>45047</v>
      </c>
      <c r="B982" t="s">
        <v>29</v>
      </c>
      <c r="C982" t="s">
        <v>36</v>
      </c>
      <c r="D982" s="2">
        <v>469916.87</v>
      </c>
      <c r="E982" s="2">
        <v>540958.23</v>
      </c>
      <c r="F982" s="2">
        <v>514302.01</v>
      </c>
      <c r="G982" s="2">
        <v>5636.17</v>
      </c>
    </row>
    <row r="983" spans="1:7" x14ac:dyDescent="0.25">
      <c r="A983" s="1">
        <v>45047</v>
      </c>
      <c r="B983" t="s">
        <v>37</v>
      </c>
      <c r="C983" t="s">
        <v>38</v>
      </c>
      <c r="D983" s="2">
        <v>14040226.41</v>
      </c>
      <c r="E983" s="2">
        <v>35010997.990000002</v>
      </c>
      <c r="F983" s="2">
        <v>29486720.199999999</v>
      </c>
      <c r="G983" s="2">
        <v>1663988.54</v>
      </c>
    </row>
    <row r="984" spans="1:7" x14ac:dyDescent="0.25">
      <c r="A984" s="1">
        <v>45047</v>
      </c>
      <c r="B984" t="s">
        <v>37</v>
      </c>
      <c r="C984" t="s">
        <v>39</v>
      </c>
      <c r="D984" s="2">
        <v>9241327.6899999995</v>
      </c>
      <c r="E984" s="2">
        <v>43921380.979999997</v>
      </c>
      <c r="F984" s="2">
        <v>37251746.960000001</v>
      </c>
      <c r="G984" s="2">
        <v>796633.93</v>
      </c>
    </row>
    <row r="985" spans="1:7" x14ac:dyDescent="0.25">
      <c r="A985" s="1">
        <v>45047</v>
      </c>
      <c r="B985" t="s">
        <v>9</v>
      </c>
      <c r="C985" t="s">
        <v>40</v>
      </c>
      <c r="D985" s="2">
        <v>7899737.4400000004</v>
      </c>
      <c r="E985" s="2">
        <v>3389427.71</v>
      </c>
      <c r="F985" s="2">
        <v>3156875.08</v>
      </c>
      <c r="G985" s="2">
        <v>123501.21</v>
      </c>
    </row>
    <row r="986" spans="1:7" x14ac:dyDescent="0.25">
      <c r="A986" s="1">
        <v>45047</v>
      </c>
      <c r="B986" t="s">
        <v>37</v>
      </c>
      <c r="C986" t="s">
        <v>41</v>
      </c>
      <c r="D986" s="2">
        <v>50994825.380000003</v>
      </c>
      <c r="E986" s="2">
        <v>58830640.579999998</v>
      </c>
      <c r="F986" s="2">
        <v>49323739.32</v>
      </c>
      <c r="G986" s="2">
        <v>1233641.72</v>
      </c>
    </row>
    <row r="987" spans="1:7" x14ac:dyDescent="0.25">
      <c r="A987" s="1">
        <v>45047</v>
      </c>
      <c r="B987" t="s">
        <v>29</v>
      </c>
      <c r="C987" t="s">
        <v>42</v>
      </c>
      <c r="D987" s="2">
        <v>2857682882.0500002</v>
      </c>
      <c r="E987" s="2">
        <v>2092034351.02</v>
      </c>
      <c r="F987" s="2">
        <v>2069190910.29</v>
      </c>
      <c r="G987" s="2">
        <v>318974315.93000001</v>
      </c>
    </row>
    <row r="988" spans="1:7" x14ac:dyDescent="0.25">
      <c r="A988" s="1">
        <v>45047</v>
      </c>
      <c r="B988" t="s">
        <v>29</v>
      </c>
      <c r="C988" t="s">
        <v>43</v>
      </c>
      <c r="D988" s="2">
        <v>496658990.68000001</v>
      </c>
      <c r="E988" s="2">
        <v>2319856976.7600002</v>
      </c>
      <c r="F988" s="2">
        <v>2316399741.7600002</v>
      </c>
      <c r="G988" s="2">
        <v>123505186.73999999</v>
      </c>
    </row>
    <row r="989" spans="1:7" x14ac:dyDescent="0.25">
      <c r="A989" s="1">
        <v>45047</v>
      </c>
      <c r="B989" t="s">
        <v>29</v>
      </c>
      <c r="C989" t="s">
        <v>44</v>
      </c>
      <c r="D989" s="2">
        <v>719579381.41999996</v>
      </c>
      <c r="E989" s="2">
        <v>3884159314.75</v>
      </c>
      <c r="F989" s="2">
        <v>3837314609.79</v>
      </c>
      <c r="G989" s="2">
        <v>237199429.44999999</v>
      </c>
    </row>
    <row r="990" spans="1:7" x14ac:dyDescent="0.25">
      <c r="A990" s="1">
        <v>45047</v>
      </c>
      <c r="B990" t="s">
        <v>45</v>
      </c>
      <c r="C990" t="s">
        <v>46</v>
      </c>
      <c r="D990" s="2">
        <v>7568882.5700000003</v>
      </c>
      <c r="E990" s="2">
        <v>16655606.619999999</v>
      </c>
      <c r="F990" s="2">
        <v>15004307.949999999</v>
      </c>
      <c r="G990" s="2">
        <v>126667.66</v>
      </c>
    </row>
    <row r="991" spans="1:7" x14ac:dyDescent="0.25">
      <c r="A991" s="1">
        <v>45047</v>
      </c>
      <c r="B991" t="s">
        <v>9</v>
      </c>
      <c r="C991" t="s">
        <v>47</v>
      </c>
      <c r="D991" s="2">
        <v>154056425.49000001</v>
      </c>
      <c r="E991" s="2">
        <v>83137295.180000007</v>
      </c>
      <c r="F991" s="2">
        <v>66094855.299999997</v>
      </c>
      <c r="G991" s="2">
        <v>11285026.560000001</v>
      </c>
    </row>
    <row r="992" spans="1:7" x14ac:dyDescent="0.25">
      <c r="A992" s="1">
        <v>45047</v>
      </c>
      <c r="B992" t="s">
        <v>48</v>
      </c>
      <c r="C992" t="s">
        <v>49</v>
      </c>
      <c r="D992" s="2">
        <v>135297367.19</v>
      </c>
      <c r="E992" s="2">
        <v>91445574.480000004</v>
      </c>
      <c r="F992" s="2">
        <v>90044924.890000001</v>
      </c>
      <c r="G992" s="2">
        <v>6141865.6399999997</v>
      </c>
    </row>
    <row r="993" spans="1:7" x14ac:dyDescent="0.25">
      <c r="A993" s="1">
        <v>45047</v>
      </c>
      <c r="B993" t="s">
        <v>50</v>
      </c>
      <c r="C993" t="s">
        <v>51</v>
      </c>
      <c r="D993" s="2">
        <v>91113334.25</v>
      </c>
      <c r="E993" s="2">
        <v>66424409.859999999</v>
      </c>
      <c r="F993" s="2">
        <v>56836620.659999996</v>
      </c>
      <c r="G993" s="2">
        <v>375583973.31</v>
      </c>
    </row>
    <row r="994" spans="1:7" x14ac:dyDescent="0.25">
      <c r="A994" s="1">
        <v>45047</v>
      </c>
      <c r="B994" t="s">
        <v>13</v>
      </c>
      <c r="C994" t="s">
        <v>52</v>
      </c>
      <c r="D994" s="2">
        <v>53624522.369999997</v>
      </c>
      <c r="E994" s="2">
        <v>47366823.75</v>
      </c>
      <c r="F994" s="2">
        <v>43728464.75</v>
      </c>
      <c r="G994" s="2">
        <v>992205.41</v>
      </c>
    </row>
    <row r="995" spans="1:7" x14ac:dyDescent="0.25">
      <c r="A995" s="1">
        <v>45047</v>
      </c>
      <c r="B995" t="s">
        <v>53</v>
      </c>
      <c r="C995" t="s">
        <v>54</v>
      </c>
      <c r="D995" s="2">
        <v>59264715.829999998</v>
      </c>
      <c r="E995" s="2">
        <v>199978576.53999999</v>
      </c>
      <c r="F995" s="2">
        <v>189339253.31</v>
      </c>
      <c r="G995" s="2">
        <v>14586539.01</v>
      </c>
    </row>
    <row r="996" spans="1:7" x14ac:dyDescent="0.25">
      <c r="A996" s="1">
        <v>45047</v>
      </c>
      <c r="B996" t="s">
        <v>31</v>
      </c>
      <c r="C996" t="s">
        <v>55</v>
      </c>
      <c r="D996" s="2">
        <v>5905099.7699999996</v>
      </c>
      <c r="E996" s="2">
        <v>5645867.4299999997</v>
      </c>
      <c r="F996" s="2">
        <v>5046187.5599999996</v>
      </c>
      <c r="G996" s="2">
        <v>95270.22</v>
      </c>
    </row>
    <row r="997" spans="1:7" x14ac:dyDescent="0.25">
      <c r="A997" s="1">
        <v>45047</v>
      </c>
      <c r="B997" t="s">
        <v>9</v>
      </c>
      <c r="C997" t="s">
        <v>56</v>
      </c>
      <c r="D997" s="2">
        <v>112040801.09</v>
      </c>
      <c r="E997" s="2">
        <v>120240615.58</v>
      </c>
      <c r="F997" s="2">
        <v>113455969.98</v>
      </c>
      <c r="G997" s="2">
        <v>62414493.350000001</v>
      </c>
    </row>
    <row r="998" spans="1:7" x14ac:dyDescent="0.25">
      <c r="A998" s="1">
        <v>45047</v>
      </c>
      <c r="B998" t="s">
        <v>57</v>
      </c>
      <c r="C998" t="s">
        <v>58</v>
      </c>
      <c r="D998" s="2">
        <v>22289173.640000001</v>
      </c>
      <c r="E998" s="2">
        <v>102274219.69</v>
      </c>
      <c r="F998" s="2">
        <v>82580770.319999993</v>
      </c>
      <c r="G998" s="2">
        <v>476733.63</v>
      </c>
    </row>
    <row r="999" spans="1:7" x14ac:dyDescent="0.25">
      <c r="A999" s="1">
        <v>45047</v>
      </c>
      <c r="B999" t="s">
        <v>19</v>
      </c>
      <c r="C999" t="s">
        <v>59</v>
      </c>
      <c r="D999" s="2">
        <v>1936398240.3800001</v>
      </c>
      <c r="E999" s="2">
        <v>736879236.40999997</v>
      </c>
      <c r="F999" s="2">
        <v>708169871.5</v>
      </c>
      <c r="G999" s="2">
        <v>536006484</v>
      </c>
    </row>
    <row r="1000" spans="1:7" x14ac:dyDescent="0.25">
      <c r="A1000" s="1">
        <v>45047</v>
      </c>
      <c r="B1000" t="s">
        <v>50</v>
      </c>
      <c r="C1000" t="s">
        <v>60</v>
      </c>
      <c r="D1000" s="2">
        <v>85242867.739999995</v>
      </c>
      <c r="E1000" s="2">
        <v>61039172.649999999</v>
      </c>
      <c r="F1000" s="2">
        <v>61151575.68</v>
      </c>
      <c r="G1000" s="2">
        <v>17408859.77</v>
      </c>
    </row>
    <row r="1001" spans="1:7" x14ac:dyDescent="0.25">
      <c r="A1001" s="1">
        <v>45047</v>
      </c>
      <c r="B1001" t="s">
        <v>61</v>
      </c>
      <c r="C1001" t="s">
        <v>62</v>
      </c>
      <c r="D1001" s="2">
        <v>15128685.32</v>
      </c>
      <c r="E1001" s="2">
        <v>42734068.200000003</v>
      </c>
      <c r="F1001" s="2">
        <v>38617754.93</v>
      </c>
      <c r="G1001" s="2">
        <v>1000117.61</v>
      </c>
    </row>
    <row r="1002" spans="1:7" x14ac:dyDescent="0.25">
      <c r="A1002" s="1">
        <v>45047</v>
      </c>
      <c r="B1002" t="s">
        <v>63</v>
      </c>
      <c r="C1002" t="s">
        <v>64</v>
      </c>
      <c r="D1002" s="2">
        <v>40182168.079999998</v>
      </c>
      <c r="E1002" s="2">
        <v>271897006.47000003</v>
      </c>
      <c r="F1002" s="2">
        <v>524037986.26999998</v>
      </c>
      <c r="G1002" s="2">
        <v>15161485.109999999</v>
      </c>
    </row>
    <row r="1003" spans="1:7" x14ac:dyDescent="0.25">
      <c r="A1003" s="1">
        <v>45047</v>
      </c>
      <c r="B1003" t="s">
        <v>37</v>
      </c>
      <c r="C1003" t="s">
        <v>65</v>
      </c>
      <c r="D1003" s="2">
        <v>239556194.94</v>
      </c>
      <c r="E1003" s="2">
        <v>782662433.62</v>
      </c>
      <c r="F1003" s="2">
        <v>739539312.28999996</v>
      </c>
      <c r="G1003" s="2">
        <v>46069805.43</v>
      </c>
    </row>
    <row r="1004" spans="1:7" x14ac:dyDescent="0.25">
      <c r="A1004" s="1">
        <v>45047</v>
      </c>
      <c r="B1004" t="s">
        <v>13</v>
      </c>
      <c r="C1004" t="s">
        <v>66</v>
      </c>
      <c r="D1004" s="2">
        <v>1039828.15</v>
      </c>
      <c r="E1004" s="2">
        <v>9526365.2799999993</v>
      </c>
      <c r="F1004" s="2">
        <v>9414954.5500000007</v>
      </c>
      <c r="G1004">
        <v>0</v>
      </c>
    </row>
    <row r="1005" spans="1:7" x14ac:dyDescent="0.25">
      <c r="A1005" s="1">
        <v>45047</v>
      </c>
      <c r="B1005" t="s">
        <v>48</v>
      </c>
      <c r="C1005" t="s">
        <v>67</v>
      </c>
      <c r="D1005" s="2">
        <v>22176541.300000001</v>
      </c>
      <c r="E1005" s="2">
        <v>25613384.050000001</v>
      </c>
      <c r="F1005" s="2">
        <v>25934060.039999999</v>
      </c>
      <c r="G1005" s="2">
        <v>848680.04</v>
      </c>
    </row>
    <row r="1006" spans="1:7" x14ac:dyDescent="0.25">
      <c r="A1006" s="1">
        <v>45047</v>
      </c>
      <c r="B1006" t="s">
        <v>9</v>
      </c>
      <c r="C1006" t="s">
        <v>68</v>
      </c>
      <c r="D1006" s="2">
        <v>29404.42</v>
      </c>
      <c r="E1006" s="2">
        <v>29404.42</v>
      </c>
      <c r="F1006" s="2">
        <v>29404.42</v>
      </c>
      <c r="G1006">
        <v>0</v>
      </c>
    </row>
    <row r="1007" spans="1:7" x14ac:dyDescent="0.25">
      <c r="A1007" s="1">
        <v>45047</v>
      </c>
      <c r="B1007" t="s">
        <v>69</v>
      </c>
      <c r="C1007" t="s">
        <v>70</v>
      </c>
      <c r="D1007" s="2">
        <v>152308.18</v>
      </c>
      <c r="E1007" s="2">
        <v>1169360.1100000001</v>
      </c>
      <c r="F1007" s="2">
        <v>1046561.41</v>
      </c>
      <c r="G1007" s="2">
        <v>243778.32</v>
      </c>
    </row>
    <row r="1008" spans="1:7" x14ac:dyDescent="0.25">
      <c r="A1008" s="1">
        <v>45047</v>
      </c>
      <c r="B1008" t="s">
        <v>24</v>
      </c>
      <c r="C1008" t="s">
        <v>71</v>
      </c>
      <c r="D1008" s="2">
        <v>2625152.7599999998</v>
      </c>
      <c r="E1008" s="2">
        <v>9392172.3599999994</v>
      </c>
      <c r="F1008" s="2">
        <v>9623482.8399999999</v>
      </c>
      <c r="G1008" s="2">
        <v>286647.74</v>
      </c>
    </row>
    <row r="1009" spans="1:7" x14ac:dyDescent="0.25">
      <c r="A1009" s="1">
        <v>45047</v>
      </c>
      <c r="B1009" t="s">
        <v>24</v>
      </c>
      <c r="C1009" t="s">
        <v>72</v>
      </c>
      <c r="D1009" s="2">
        <v>2417259.56</v>
      </c>
      <c r="E1009" s="2">
        <v>3828075.79</v>
      </c>
      <c r="F1009" s="2">
        <v>3700794.03</v>
      </c>
      <c r="G1009" s="2">
        <v>2502.66</v>
      </c>
    </row>
    <row r="1010" spans="1:7" x14ac:dyDescent="0.25">
      <c r="A1010" s="1">
        <v>45047</v>
      </c>
      <c r="B1010" t="s">
        <v>37</v>
      </c>
      <c r="C1010" t="s">
        <v>73</v>
      </c>
      <c r="D1010" s="2">
        <v>87895663.519999996</v>
      </c>
      <c r="E1010" s="2">
        <v>369907085.43000001</v>
      </c>
      <c r="F1010" s="2">
        <v>371255030.99000001</v>
      </c>
      <c r="G1010" s="2">
        <v>9761604.1199999992</v>
      </c>
    </row>
    <row r="1011" spans="1:7" x14ac:dyDescent="0.25">
      <c r="A1011" s="1">
        <v>45047</v>
      </c>
      <c r="B1011" t="s">
        <v>24</v>
      </c>
      <c r="C1011" t="s">
        <v>74</v>
      </c>
      <c r="D1011" s="2">
        <v>751272.69</v>
      </c>
      <c r="E1011" s="2">
        <v>1473658.41</v>
      </c>
      <c r="F1011" s="2">
        <v>1429907.07</v>
      </c>
      <c r="G1011" s="2">
        <v>17991.59</v>
      </c>
    </row>
    <row r="1012" spans="1:7" x14ac:dyDescent="0.25">
      <c r="A1012" s="1">
        <v>45047</v>
      </c>
      <c r="B1012" t="s">
        <v>75</v>
      </c>
      <c r="C1012" t="s">
        <v>76</v>
      </c>
      <c r="D1012" s="2">
        <v>1942255.29</v>
      </c>
      <c r="E1012" s="2">
        <v>6463412.8700000001</v>
      </c>
      <c r="F1012" s="2">
        <v>5756460.71</v>
      </c>
      <c r="G1012" s="2">
        <v>1732997.76</v>
      </c>
    </row>
    <row r="1013" spans="1:7" x14ac:dyDescent="0.25">
      <c r="A1013" s="1">
        <v>45047</v>
      </c>
      <c r="B1013" t="s">
        <v>77</v>
      </c>
      <c r="C1013" t="s">
        <v>78</v>
      </c>
      <c r="D1013" s="2">
        <v>238343013.97999999</v>
      </c>
      <c r="E1013" s="2">
        <v>269133600.06</v>
      </c>
      <c r="F1013" s="2">
        <v>234982930.31999999</v>
      </c>
      <c r="G1013" s="2">
        <v>17670898.43</v>
      </c>
    </row>
    <row r="1014" spans="1:7" x14ac:dyDescent="0.25">
      <c r="A1014" s="1">
        <v>45047</v>
      </c>
      <c r="B1014" t="s">
        <v>37</v>
      </c>
      <c r="C1014" t="s">
        <v>79</v>
      </c>
      <c r="D1014" s="2">
        <v>857651.31</v>
      </c>
      <c r="E1014" s="2">
        <v>10855693.720000001</v>
      </c>
      <c r="F1014" s="2">
        <v>9266688.1600000001</v>
      </c>
      <c r="G1014" s="2">
        <v>178036.64</v>
      </c>
    </row>
    <row r="1015" spans="1:7" x14ac:dyDescent="0.25">
      <c r="A1015" s="1">
        <v>45047</v>
      </c>
      <c r="B1015" t="s">
        <v>80</v>
      </c>
      <c r="C1015" t="s">
        <v>81</v>
      </c>
      <c r="D1015" s="2">
        <v>274077.84999999998</v>
      </c>
      <c r="E1015" s="2">
        <v>7519978.2300000004</v>
      </c>
      <c r="F1015" s="2">
        <v>6477961.6399999997</v>
      </c>
      <c r="G1015" s="2">
        <v>918679.63</v>
      </c>
    </row>
    <row r="1016" spans="1:7" x14ac:dyDescent="0.25">
      <c r="A1016" s="1">
        <v>45047</v>
      </c>
      <c r="B1016" t="s">
        <v>24</v>
      </c>
      <c r="C1016" t="s">
        <v>82</v>
      </c>
      <c r="D1016" s="2">
        <v>2852477.26</v>
      </c>
      <c r="E1016" s="2">
        <v>11020785.640000001</v>
      </c>
      <c r="F1016" s="2">
        <v>10195711.24</v>
      </c>
      <c r="G1016" s="2">
        <v>723965.31</v>
      </c>
    </row>
    <row r="1017" spans="1:7" x14ac:dyDescent="0.25">
      <c r="A1017" s="1">
        <v>45047</v>
      </c>
      <c r="B1017" t="s">
        <v>16</v>
      </c>
      <c r="C1017" t="s">
        <v>83</v>
      </c>
      <c r="D1017" s="2">
        <v>117852086.13</v>
      </c>
      <c r="E1017" s="2">
        <v>121449564.38</v>
      </c>
      <c r="F1017" s="2">
        <v>135670319.74000001</v>
      </c>
      <c r="G1017">
        <v>0</v>
      </c>
    </row>
    <row r="1018" spans="1:7" x14ac:dyDescent="0.25">
      <c r="A1018" s="1">
        <v>45047</v>
      </c>
      <c r="B1018" t="s">
        <v>84</v>
      </c>
      <c r="C1018" t="s">
        <v>85</v>
      </c>
      <c r="D1018" s="2">
        <v>44313547.810000002</v>
      </c>
      <c r="E1018" s="2">
        <v>47414668.579999998</v>
      </c>
      <c r="F1018" s="2">
        <v>45051043.850000001</v>
      </c>
      <c r="G1018" s="2">
        <v>2897202.72</v>
      </c>
    </row>
    <row r="1019" spans="1:7" x14ac:dyDescent="0.25">
      <c r="A1019" s="1">
        <v>45047</v>
      </c>
      <c r="B1019" t="s">
        <v>84</v>
      </c>
      <c r="C1019" t="s">
        <v>86</v>
      </c>
      <c r="D1019" s="2">
        <v>258474.19</v>
      </c>
      <c r="E1019" s="2">
        <v>124279.56</v>
      </c>
      <c r="F1019" s="2">
        <v>161798.97</v>
      </c>
      <c r="G1019" s="2">
        <v>72410.66</v>
      </c>
    </row>
    <row r="1020" spans="1:7" x14ac:dyDescent="0.25">
      <c r="A1020" s="1">
        <v>45047</v>
      </c>
      <c r="B1020" t="s">
        <v>16</v>
      </c>
      <c r="C1020" t="s">
        <v>87</v>
      </c>
      <c r="D1020" s="2">
        <v>556850597.14999998</v>
      </c>
      <c r="E1020" s="2">
        <v>521818179.56999999</v>
      </c>
      <c r="F1020" s="2">
        <v>400524525</v>
      </c>
      <c r="G1020" s="2">
        <v>218847163.66999999</v>
      </c>
    </row>
    <row r="1021" spans="1:7" x14ac:dyDescent="0.25">
      <c r="A1021" s="1">
        <v>45047</v>
      </c>
      <c r="B1021" t="s">
        <v>29</v>
      </c>
      <c r="C1021" t="s">
        <v>88</v>
      </c>
      <c r="D1021" s="2">
        <v>-378481.44</v>
      </c>
      <c r="E1021" s="2">
        <v>2193323.89</v>
      </c>
      <c r="F1021" s="2">
        <v>2094034.74</v>
      </c>
      <c r="G1021">
        <v>0</v>
      </c>
    </row>
    <row r="1022" spans="1:7" x14ac:dyDescent="0.25">
      <c r="A1022" s="1">
        <v>45047</v>
      </c>
      <c r="B1022" t="s">
        <v>37</v>
      </c>
      <c r="C1022" t="s">
        <v>89</v>
      </c>
      <c r="D1022" s="2">
        <v>17495192.550000001</v>
      </c>
      <c r="E1022" s="2">
        <v>169033422.16</v>
      </c>
      <c r="F1022" s="2">
        <v>133746033.79000001</v>
      </c>
      <c r="G1022" s="2">
        <v>15332374.460000001</v>
      </c>
    </row>
    <row r="1023" spans="1:7" x14ac:dyDescent="0.25">
      <c r="A1023" s="1">
        <v>45047</v>
      </c>
      <c r="B1023" t="s">
        <v>37</v>
      </c>
      <c r="C1023" t="s">
        <v>90</v>
      </c>
      <c r="D1023" s="2">
        <v>8191805.9000000004</v>
      </c>
      <c r="E1023" s="2">
        <v>75286152.890000001</v>
      </c>
      <c r="F1023" s="2">
        <v>63153385.600000001</v>
      </c>
      <c r="G1023" s="2">
        <v>4260311.75</v>
      </c>
    </row>
    <row r="1024" spans="1:7" x14ac:dyDescent="0.25">
      <c r="A1024" s="1">
        <v>45047</v>
      </c>
      <c r="B1024" t="s">
        <v>37</v>
      </c>
      <c r="C1024" t="s">
        <v>91</v>
      </c>
      <c r="D1024" s="2">
        <v>35770390.170000002</v>
      </c>
      <c r="E1024" s="2">
        <v>80947851.189999998</v>
      </c>
      <c r="F1024" s="2">
        <v>68730680.299999997</v>
      </c>
      <c r="G1024" s="2">
        <v>4120795.26</v>
      </c>
    </row>
    <row r="1025" spans="1:7" x14ac:dyDescent="0.25">
      <c r="A1025" s="1">
        <v>45047</v>
      </c>
      <c r="B1025" t="s">
        <v>37</v>
      </c>
      <c r="C1025" t="s">
        <v>92</v>
      </c>
      <c r="D1025" s="2">
        <v>4772517.6900000004</v>
      </c>
      <c r="E1025" s="2">
        <v>25680377.170000002</v>
      </c>
      <c r="F1025" s="2">
        <v>21786099.620000001</v>
      </c>
      <c r="G1025" s="2">
        <v>1890608.25</v>
      </c>
    </row>
    <row r="1026" spans="1:7" x14ac:dyDescent="0.25">
      <c r="A1026" s="1">
        <v>45047</v>
      </c>
      <c r="B1026" t="s">
        <v>37</v>
      </c>
      <c r="C1026" t="s">
        <v>93</v>
      </c>
      <c r="D1026" s="2">
        <v>7591420.79</v>
      </c>
      <c r="E1026" s="2">
        <v>15500547.949999999</v>
      </c>
      <c r="F1026" s="2">
        <v>13702750.539999999</v>
      </c>
      <c r="G1026" s="2">
        <v>722652.2</v>
      </c>
    </row>
    <row r="1027" spans="1:7" x14ac:dyDescent="0.25">
      <c r="A1027" s="1">
        <v>45047</v>
      </c>
      <c r="B1027" t="s">
        <v>37</v>
      </c>
      <c r="C1027" t="s">
        <v>94</v>
      </c>
      <c r="D1027" s="2">
        <v>12001390.609999999</v>
      </c>
      <c r="E1027" s="2">
        <v>72486294.140000001</v>
      </c>
      <c r="F1027" s="2">
        <v>62941798.57</v>
      </c>
      <c r="G1027" s="2">
        <v>1126639.74</v>
      </c>
    </row>
    <row r="1028" spans="1:7" x14ac:dyDescent="0.25">
      <c r="A1028" s="1">
        <v>45047</v>
      </c>
      <c r="B1028" t="s">
        <v>37</v>
      </c>
      <c r="C1028" t="s">
        <v>95</v>
      </c>
      <c r="D1028" s="2">
        <v>10353130.800000001</v>
      </c>
      <c r="E1028" s="2">
        <v>26297778.809999999</v>
      </c>
      <c r="F1028" s="2">
        <v>21803631.890000001</v>
      </c>
      <c r="G1028" s="2">
        <v>4298528.96</v>
      </c>
    </row>
    <row r="1029" spans="1:7" x14ac:dyDescent="0.25">
      <c r="A1029" s="1">
        <v>45047</v>
      </c>
      <c r="B1029" t="s">
        <v>37</v>
      </c>
      <c r="C1029" t="s">
        <v>96</v>
      </c>
      <c r="D1029" s="2">
        <v>15607645.58</v>
      </c>
      <c r="E1029" s="2">
        <v>72807419.400000006</v>
      </c>
      <c r="F1029" s="2">
        <v>62983211.869999997</v>
      </c>
      <c r="G1029" s="2">
        <v>3875502.86</v>
      </c>
    </row>
    <row r="1030" spans="1:7" x14ac:dyDescent="0.25">
      <c r="A1030" s="1">
        <v>45047</v>
      </c>
      <c r="B1030" t="s">
        <v>37</v>
      </c>
      <c r="C1030" t="s">
        <v>97</v>
      </c>
      <c r="D1030" s="2">
        <v>60549396.259999998</v>
      </c>
      <c r="E1030" s="2">
        <v>58867412.240000002</v>
      </c>
      <c r="F1030" s="2">
        <v>49984985.390000001</v>
      </c>
      <c r="G1030" s="2">
        <v>3611348.33</v>
      </c>
    </row>
    <row r="1031" spans="1:7" x14ac:dyDescent="0.25">
      <c r="A1031" s="1">
        <v>45047</v>
      </c>
      <c r="B1031" t="s">
        <v>37</v>
      </c>
      <c r="C1031" t="s">
        <v>98</v>
      </c>
      <c r="D1031" s="2">
        <v>2187751.7200000002</v>
      </c>
      <c r="E1031" s="2">
        <v>32447328.84</v>
      </c>
      <c r="F1031" s="2">
        <v>27413142.829999998</v>
      </c>
      <c r="G1031" s="2">
        <v>583305.47</v>
      </c>
    </row>
    <row r="1032" spans="1:7" x14ac:dyDescent="0.25">
      <c r="A1032" s="1">
        <v>45047</v>
      </c>
      <c r="B1032" t="s">
        <v>37</v>
      </c>
      <c r="C1032" t="s">
        <v>99</v>
      </c>
      <c r="D1032" s="2">
        <v>55598631.380000003</v>
      </c>
      <c r="E1032" s="2">
        <v>129705906.83</v>
      </c>
      <c r="F1032" s="2">
        <v>114162442.83</v>
      </c>
      <c r="G1032" s="2">
        <v>2826986.86</v>
      </c>
    </row>
    <row r="1033" spans="1:7" x14ac:dyDescent="0.25">
      <c r="A1033" s="1">
        <v>45047</v>
      </c>
      <c r="B1033" t="s">
        <v>37</v>
      </c>
      <c r="C1033" t="s">
        <v>100</v>
      </c>
      <c r="D1033" s="2">
        <v>30610570.870000001</v>
      </c>
      <c r="E1033" s="2">
        <v>28886695.43</v>
      </c>
      <c r="F1033" s="2">
        <v>25630814.68</v>
      </c>
      <c r="G1033" s="2">
        <v>6467150.4800000004</v>
      </c>
    </row>
    <row r="1034" spans="1:7" x14ac:dyDescent="0.25">
      <c r="A1034" s="1">
        <v>45047</v>
      </c>
      <c r="B1034" t="s">
        <v>37</v>
      </c>
      <c r="C1034" t="s">
        <v>101</v>
      </c>
      <c r="D1034" s="2">
        <v>8873969.4600000009</v>
      </c>
      <c r="E1034" s="2">
        <v>31684149.969999999</v>
      </c>
      <c r="F1034" s="2">
        <v>26803411.399999999</v>
      </c>
      <c r="G1034" s="2">
        <v>1831460.4</v>
      </c>
    </row>
    <row r="1035" spans="1:7" x14ac:dyDescent="0.25">
      <c r="A1035" s="1">
        <v>45047</v>
      </c>
      <c r="B1035" t="s">
        <v>37</v>
      </c>
      <c r="C1035" t="s">
        <v>102</v>
      </c>
      <c r="D1035" s="2">
        <v>2136440.69</v>
      </c>
      <c r="E1035" s="2">
        <v>18411318.199999999</v>
      </c>
      <c r="F1035" s="2">
        <v>16658081.119999999</v>
      </c>
      <c r="G1035" s="2">
        <v>4954821.34</v>
      </c>
    </row>
    <row r="1036" spans="1:7" x14ac:dyDescent="0.25">
      <c r="A1036" s="1">
        <v>45047</v>
      </c>
      <c r="B1036" t="s">
        <v>37</v>
      </c>
      <c r="C1036" t="s">
        <v>103</v>
      </c>
      <c r="D1036" s="2">
        <v>25822956.210000001</v>
      </c>
      <c r="E1036" s="2">
        <v>80406841.879999995</v>
      </c>
      <c r="F1036" s="2">
        <v>66800673.82</v>
      </c>
      <c r="G1036" s="2">
        <v>3282107.98</v>
      </c>
    </row>
    <row r="1037" spans="1:7" x14ac:dyDescent="0.25">
      <c r="A1037" s="1">
        <v>45047</v>
      </c>
      <c r="B1037" t="s">
        <v>37</v>
      </c>
      <c r="C1037" t="s">
        <v>104</v>
      </c>
      <c r="D1037" s="2">
        <v>11697922.789999999</v>
      </c>
      <c r="E1037" s="2">
        <v>82695188.810000002</v>
      </c>
      <c r="F1037" s="2">
        <v>69868337.040000007</v>
      </c>
      <c r="G1037" s="2">
        <v>3894868.82</v>
      </c>
    </row>
    <row r="1038" spans="1:7" x14ac:dyDescent="0.25">
      <c r="A1038" s="1">
        <v>45047</v>
      </c>
      <c r="B1038" t="s">
        <v>37</v>
      </c>
      <c r="C1038" t="s">
        <v>105</v>
      </c>
      <c r="D1038" s="2">
        <v>4103079.7</v>
      </c>
      <c r="E1038" s="2">
        <v>31239674.030000001</v>
      </c>
      <c r="F1038" s="2">
        <v>25945350.809999999</v>
      </c>
      <c r="G1038" s="2">
        <v>1186472.03</v>
      </c>
    </row>
    <row r="1039" spans="1:7" x14ac:dyDescent="0.25">
      <c r="A1039" s="1">
        <v>45047</v>
      </c>
      <c r="B1039" t="s">
        <v>37</v>
      </c>
      <c r="C1039" t="s">
        <v>106</v>
      </c>
      <c r="D1039" s="2">
        <v>134347622.74000001</v>
      </c>
      <c r="E1039" s="2">
        <v>69340688.689999998</v>
      </c>
      <c r="F1039" s="2">
        <v>58142607.149999999</v>
      </c>
      <c r="G1039" s="2">
        <v>2160042.29</v>
      </c>
    </row>
    <row r="1040" spans="1:7" x14ac:dyDescent="0.25">
      <c r="A1040" s="1">
        <v>45047</v>
      </c>
      <c r="B1040" t="s">
        <v>37</v>
      </c>
      <c r="C1040" t="s">
        <v>107</v>
      </c>
      <c r="D1040" s="2">
        <v>5909192.1399999997</v>
      </c>
      <c r="E1040" s="2">
        <v>33501053.079999998</v>
      </c>
      <c r="F1040" s="2">
        <v>28265388.010000002</v>
      </c>
      <c r="G1040" s="2">
        <v>3718748.15</v>
      </c>
    </row>
    <row r="1041" spans="1:7" x14ac:dyDescent="0.25">
      <c r="A1041" s="1">
        <v>45047</v>
      </c>
      <c r="B1041" t="s">
        <v>37</v>
      </c>
      <c r="C1041" t="s">
        <v>108</v>
      </c>
      <c r="D1041" s="2">
        <v>10048047.859999999</v>
      </c>
      <c r="E1041" s="2">
        <v>21352044.399999999</v>
      </c>
      <c r="F1041" s="2">
        <v>22908040.859999999</v>
      </c>
      <c r="G1041" s="2">
        <v>1929996.94</v>
      </c>
    </row>
    <row r="1042" spans="1:7" x14ac:dyDescent="0.25">
      <c r="A1042" s="1">
        <v>45047</v>
      </c>
      <c r="B1042" t="s">
        <v>50</v>
      </c>
      <c r="C1042" t="s">
        <v>109</v>
      </c>
      <c r="D1042" s="2">
        <v>-1436803433.72</v>
      </c>
      <c r="E1042" s="2">
        <v>414630079.50999999</v>
      </c>
      <c r="F1042" s="2">
        <v>414630079.50999999</v>
      </c>
      <c r="G1042">
        <v>0</v>
      </c>
    </row>
    <row r="1043" spans="1:7" x14ac:dyDescent="0.25">
      <c r="A1043" s="1">
        <v>45047</v>
      </c>
      <c r="B1043" t="s">
        <v>50</v>
      </c>
      <c r="C1043" t="s">
        <v>110</v>
      </c>
      <c r="D1043" s="2">
        <v>329550192</v>
      </c>
      <c r="E1043" s="2">
        <v>2362838145.6799998</v>
      </c>
      <c r="F1043" s="2">
        <v>2362838145.6799998</v>
      </c>
      <c r="G1043">
        <v>0</v>
      </c>
    </row>
    <row r="1044" spans="1:7" x14ac:dyDescent="0.25">
      <c r="A1044" s="1">
        <v>45047</v>
      </c>
      <c r="B1044" t="s">
        <v>50</v>
      </c>
      <c r="C1044" t="s">
        <v>111</v>
      </c>
      <c r="D1044" s="2">
        <v>109850064</v>
      </c>
      <c r="E1044" s="2">
        <v>414630079.50999999</v>
      </c>
      <c r="F1044" s="2">
        <v>414630079.50999999</v>
      </c>
      <c r="G1044">
        <v>0</v>
      </c>
    </row>
    <row r="1045" spans="1:7" x14ac:dyDescent="0.25">
      <c r="A1045" s="1">
        <v>45047</v>
      </c>
      <c r="B1045" t="s">
        <v>45</v>
      </c>
      <c r="C1045" t="s">
        <v>112</v>
      </c>
      <c r="D1045" s="2">
        <v>2152957390.98</v>
      </c>
      <c r="E1045" s="2">
        <v>1406929184.8399999</v>
      </c>
      <c r="F1045" s="2">
        <v>2017272809.28</v>
      </c>
      <c r="G1045" s="2">
        <v>19303248.23</v>
      </c>
    </row>
    <row r="1046" spans="1:7" x14ac:dyDescent="0.25">
      <c r="A1046" s="1">
        <v>45047</v>
      </c>
      <c r="B1046" t="s">
        <v>11</v>
      </c>
      <c r="C1046" t="s">
        <v>113</v>
      </c>
      <c r="D1046" s="2">
        <v>91807915</v>
      </c>
      <c r="E1046" s="2">
        <v>27967666.239999998</v>
      </c>
      <c r="F1046" s="2">
        <v>27967742.690000001</v>
      </c>
      <c r="G1046">
        <v>0</v>
      </c>
    </row>
    <row r="1047" spans="1:7" x14ac:dyDescent="0.25">
      <c r="A1047" s="1">
        <v>45047</v>
      </c>
      <c r="B1047" t="s">
        <v>80</v>
      </c>
      <c r="C1047" t="s">
        <v>114</v>
      </c>
      <c r="D1047" s="2">
        <v>10560199868.709999</v>
      </c>
      <c r="E1047" s="2">
        <v>10476596030.969999</v>
      </c>
      <c r="F1047" s="2">
        <v>10476597516.59</v>
      </c>
      <c r="G1047" s="2">
        <v>132510870.98999999</v>
      </c>
    </row>
    <row r="1048" spans="1:7" x14ac:dyDescent="0.25">
      <c r="A1048" s="1">
        <v>45047</v>
      </c>
      <c r="B1048" t="s">
        <v>45</v>
      </c>
      <c r="C1048" t="s">
        <v>115</v>
      </c>
      <c r="D1048" s="2">
        <v>47775592.850000001</v>
      </c>
      <c r="E1048" s="2">
        <v>47775592.850000001</v>
      </c>
      <c r="F1048" s="2">
        <v>47775592.850000001</v>
      </c>
      <c r="G1048">
        <v>0</v>
      </c>
    </row>
    <row r="1049" spans="1:7" x14ac:dyDescent="0.25">
      <c r="A1049" s="1">
        <v>45047</v>
      </c>
      <c r="B1049" t="s">
        <v>63</v>
      </c>
      <c r="C1049" t="s">
        <v>116</v>
      </c>
      <c r="D1049" s="2">
        <v>100000</v>
      </c>
      <c r="E1049" s="2">
        <v>34415.39</v>
      </c>
      <c r="F1049" s="2">
        <v>34415.39</v>
      </c>
      <c r="G1049" s="2">
        <v>124349961.44</v>
      </c>
    </row>
    <row r="1050" spans="1:7" x14ac:dyDescent="0.25">
      <c r="A1050" s="1">
        <v>45047</v>
      </c>
      <c r="B1050" t="s">
        <v>31</v>
      </c>
      <c r="C1050" t="s">
        <v>117</v>
      </c>
      <c r="D1050">
        <v>0</v>
      </c>
      <c r="E1050">
        <v>0</v>
      </c>
      <c r="F1050">
        <v>0</v>
      </c>
      <c r="G1050" s="2">
        <v>38140</v>
      </c>
    </row>
    <row r="1051" spans="1:7" x14ac:dyDescent="0.25">
      <c r="A1051" s="1">
        <v>45047</v>
      </c>
      <c r="B1051" t="s">
        <v>50</v>
      </c>
      <c r="C1051" t="s">
        <v>119</v>
      </c>
      <c r="D1051" s="2">
        <v>-157353594.30000001</v>
      </c>
      <c r="E1051">
        <v>0</v>
      </c>
      <c r="F1051">
        <v>0</v>
      </c>
      <c r="G1051">
        <v>0</v>
      </c>
    </row>
    <row r="1052" spans="1:7" x14ac:dyDescent="0.25">
      <c r="A1052" s="1">
        <v>45047</v>
      </c>
      <c r="B1052" t="s">
        <v>45</v>
      </c>
      <c r="C1052" t="s">
        <v>120</v>
      </c>
      <c r="D1052" s="2">
        <v>468257.89</v>
      </c>
      <c r="E1052" s="2">
        <v>468257.89</v>
      </c>
      <c r="F1052" s="2">
        <v>468261.51</v>
      </c>
      <c r="G1052">
        <v>0</v>
      </c>
    </row>
    <row r="1053" spans="1:7" x14ac:dyDescent="0.25">
      <c r="A1053" s="1">
        <v>45047</v>
      </c>
      <c r="B1053" t="s">
        <v>45</v>
      </c>
      <c r="C1053" t="s">
        <v>121</v>
      </c>
      <c r="D1053" s="2">
        <v>12251011.859999999</v>
      </c>
      <c r="E1053" s="2">
        <v>11748893.460000001</v>
      </c>
      <c r="F1053" s="2">
        <v>11748893.460000001</v>
      </c>
      <c r="G1053">
        <v>0</v>
      </c>
    </row>
    <row r="1054" spans="1:7" x14ac:dyDescent="0.25">
      <c r="A1054" s="1">
        <v>45047</v>
      </c>
      <c r="B1054" t="s">
        <v>61</v>
      </c>
      <c r="C1054" t="s">
        <v>122</v>
      </c>
      <c r="D1054" s="2">
        <v>21492229.260000002</v>
      </c>
      <c r="E1054" s="2">
        <v>5207345.82</v>
      </c>
      <c r="F1054" s="2">
        <v>5104320.59</v>
      </c>
      <c r="G1054" s="2">
        <v>352150.55</v>
      </c>
    </row>
    <row r="1055" spans="1:7" x14ac:dyDescent="0.25">
      <c r="A1055" s="1">
        <v>45047</v>
      </c>
      <c r="B1055" t="s">
        <v>29</v>
      </c>
      <c r="C1055" t="s">
        <v>124</v>
      </c>
      <c r="D1055" s="2">
        <v>266602680.40000001</v>
      </c>
      <c r="E1055" s="2">
        <v>224828712.52000001</v>
      </c>
      <c r="F1055" s="2">
        <v>201829542.99000001</v>
      </c>
      <c r="G1055" s="2">
        <v>16944619.609999999</v>
      </c>
    </row>
    <row r="1056" spans="1:7" x14ac:dyDescent="0.25">
      <c r="A1056" s="1">
        <v>45047</v>
      </c>
      <c r="B1056" t="s">
        <v>125</v>
      </c>
      <c r="C1056" t="s">
        <v>126</v>
      </c>
      <c r="D1056" s="2">
        <v>-88682431.010000005</v>
      </c>
      <c r="E1056" s="2">
        <v>95524638573.339996</v>
      </c>
      <c r="F1056" s="2">
        <v>71793374054.619995</v>
      </c>
      <c r="G1056" s="2">
        <v>2416692.19</v>
      </c>
    </row>
    <row r="1057" spans="1:7" x14ac:dyDescent="0.25">
      <c r="A1057" s="1">
        <v>45047</v>
      </c>
      <c r="B1057" t="s">
        <v>127</v>
      </c>
      <c r="C1057" t="s">
        <v>128</v>
      </c>
      <c r="D1057" s="2">
        <v>23650000</v>
      </c>
      <c r="E1057">
        <v>0</v>
      </c>
      <c r="F1057">
        <v>0</v>
      </c>
      <c r="G1057" s="2">
        <v>3821747.18</v>
      </c>
    </row>
    <row r="1058" spans="1:7" x14ac:dyDescent="0.25">
      <c r="A1058" s="1">
        <v>45047</v>
      </c>
      <c r="B1058" t="s">
        <v>31</v>
      </c>
      <c r="C1058" t="s">
        <v>129</v>
      </c>
      <c r="D1058" s="2">
        <v>110000</v>
      </c>
      <c r="E1058" s="2">
        <v>59732.9</v>
      </c>
      <c r="F1058" s="2">
        <v>59732.9</v>
      </c>
      <c r="G1058" s="2">
        <v>776290.16</v>
      </c>
    </row>
    <row r="1059" spans="1:7" x14ac:dyDescent="0.25">
      <c r="A1059" s="1">
        <v>45047</v>
      </c>
      <c r="B1059" t="s">
        <v>130</v>
      </c>
      <c r="C1059" t="s">
        <v>131</v>
      </c>
      <c r="D1059" s="2">
        <v>509475018.92000002</v>
      </c>
      <c r="E1059" s="2">
        <v>365353011.69</v>
      </c>
      <c r="F1059" s="2">
        <v>361847445.01999998</v>
      </c>
      <c r="G1059" s="2">
        <v>129401.22</v>
      </c>
    </row>
    <row r="1060" spans="1:7" x14ac:dyDescent="0.25">
      <c r="A1060" s="1">
        <v>45047</v>
      </c>
      <c r="B1060" t="s">
        <v>11</v>
      </c>
      <c r="C1060" t="s">
        <v>132</v>
      </c>
      <c r="D1060" s="2">
        <v>41307184.460000001</v>
      </c>
      <c r="E1060" s="2">
        <v>5295973</v>
      </c>
      <c r="F1060" s="2">
        <v>5295973</v>
      </c>
      <c r="G1060" s="2">
        <v>3661012.38</v>
      </c>
    </row>
    <row r="1061" spans="1:7" x14ac:dyDescent="0.25">
      <c r="A1061" s="1">
        <v>45047</v>
      </c>
      <c r="B1061" t="s">
        <v>24</v>
      </c>
      <c r="C1061" t="s">
        <v>133</v>
      </c>
      <c r="D1061">
        <v>0</v>
      </c>
      <c r="E1061">
        <v>0</v>
      </c>
      <c r="F1061">
        <v>0</v>
      </c>
      <c r="G1061" s="2">
        <v>11949615.189999999</v>
      </c>
    </row>
    <row r="1062" spans="1:7" x14ac:dyDescent="0.25">
      <c r="A1062" s="1">
        <v>45047</v>
      </c>
      <c r="B1062" t="s">
        <v>9</v>
      </c>
      <c r="C1062" t="s">
        <v>135</v>
      </c>
      <c r="D1062" s="2">
        <v>350477578.02999997</v>
      </c>
      <c r="E1062" s="2">
        <v>186108124.28999999</v>
      </c>
      <c r="F1062" s="2">
        <v>166274799.74000001</v>
      </c>
      <c r="G1062" s="2">
        <v>35388733.130000003</v>
      </c>
    </row>
    <row r="1063" spans="1:7" x14ac:dyDescent="0.25">
      <c r="A1063" s="1">
        <v>45047</v>
      </c>
      <c r="B1063" t="s">
        <v>37</v>
      </c>
      <c r="C1063" t="s">
        <v>136</v>
      </c>
      <c r="D1063" s="2">
        <v>1177777838.8800001</v>
      </c>
      <c r="E1063" s="2">
        <v>5657983147.5200005</v>
      </c>
      <c r="F1063" s="2">
        <v>5740654618.6700001</v>
      </c>
      <c r="G1063" s="2">
        <v>329865638.48000002</v>
      </c>
    </row>
    <row r="1064" spans="1:7" x14ac:dyDescent="0.25">
      <c r="A1064" s="1">
        <v>45047</v>
      </c>
      <c r="B1064" t="s">
        <v>48</v>
      </c>
      <c r="C1064" t="s">
        <v>137</v>
      </c>
      <c r="D1064">
        <v>0</v>
      </c>
      <c r="E1064">
        <v>0</v>
      </c>
      <c r="F1064">
        <v>0</v>
      </c>
      <c r="G1064" s="2">
        <v>1971490.1</v>
      </c>
    </row>
    <row r="1065" spans="1:7" x14ac:dyDescent="0.25">
      <c r="A1065" s="1">
        <v>45047</v>
      </c>
      <c r="B1065" t="s">
        <v>31</v>
      </c>
      <c r="C1065" t="s">
        <v>138</v>
      </c>
      <c r="D1065" s="2">
        <v>11010914.960000001</v>
      </c>
      <c r="E1065" s="2">
        <v>36308435.719999999</v>
      </c>
      <c r="F1065" s="2">
        <v>36502919.82</v>
      </c>
      <c r="G1065" s="2">
        <v>51645471.210000001</v>
      </c>
    </row>
    <row r="1066" spans="1:7" x14ac:dyDescent="0.25">
      <c r="A1066" s="1">
        <v>45047</v>
      </c>
      <c r="B1066" t="s">
        <v>27</v>
      </c>
      <c r="C1066" t="s">
        <v>142</v>
      </c>
      <c r="D1066" s="2">
        <v>301634088.14999998</v>
      </c>
      <c r="E1066" s="2">
        <v>3531343.15</v>
      </c>
      <c r="F1066" s="2">
        <v>3531343.15</v>
      </c>
      <c r="G1066">
        <v>0</v>
      </c>
    </row>
    <row r="1067" spans="1:7" x14ac:dyDescent="0.25">
      <c r="A1067" s="1">
        <v>45047</v>
      </c>
      <c r="B1067" t="s">
        <v>31</v>
      </c>
      <c r="C1067" t="s">
        <v>143</v>
      </c>
      <c r="D1067" s="2">
        <v>25760078.899999999</v>
      </c>
      <c r="E1067" s="2">
        <v>9769676.8300000001</v>
      </c>
      <c r="F1067" s="2">
        <v>10217079.01</v>
      </c>
      <c r="G1067" s="2">
        <v>9740279.0299999993</v>
      </c>
    </row>
    <row r="1068" spans="1:7" x14ac:dyDescent="0.25">
      <c r="A1068" s="1">
        <v>45047</v>
      </c>
      <c r="B1068" t="s">
        <v>61</v>
      </c>
      <c r="C1068" t="s">
        <v>144</v>
      </c>
      <c r="D1068" s="2">
        <v>227146.8</v>
      </c>
      <c r="E1068" s="2">
        <v>631889.52</v>
      </c>
      <c r="F1068" s="2">
        <v>540646.84</v>
      </c>
      <c r="G1068">
        <v>0</v>
      </c>
    </row>
    <row r="1069" spans="1:7" x14ac:dyDescent="0.25">
      <c r="A1069" s="1">
        <v>45047</v>
      </c>
      <c r="B1069" t="s">
        <v>37</v>
      </c>
      <c r="C1069" t="s">
        <v>145</v>
      </c>
      <c r="D1069" s="2">
        <v>156503156.53</v>
      </c>
      <c r="E1069" s="2">
        <v>148899496.30000001</v>
      </c>
      <c r="F1069" s="2">
        <v>126850904.90000001</v>
      </c>
      <c r="G1069" s="2">
        <v>2275784.29</v>
      </c>
    </row>
    <row r="1070" spans="1:7" x14ac:dyDescent="0.25">
      <c r="A1070" s="1">
        <v>45047</v>
      </c>
      <c r="B1070" t="s">
        <v>16</v>
      </c>
      <c r="C1070" t="s">
        <v>146</v>
      </c>
      <c r="D1070" s="2">
        <v>128627383.65000001</v>
      </c>
      <c r="E1070" s="2">
        <v>151434877.52000001</v>
      </c>
      <c r="F1070" s="2">
        <v>130422230.14</v>
      </c>
      <c r="G1070" s="2">
        <v>4616845.43</v>
      </c>
    </row>
    <row r="1071" spans="1:7" x14ac:dyDescent="0.25">
      <c r="A1071" s="1">
        <v>45047</v>
      </c>
      <c r="B1071" t="s">
        <v>29</v>
      </c>
      <c r="C1071" t="s">
        <v>147</v>
      </c>
      <c r="D1071" s="2">
        <v>14406036.33</v>
      </c>
      <c r="E1071" s="2">
        <v>19486361.050000001</v>
      </c>
      <c r="F1071" s="2">
        <v>19205420.75</v>
      </c>
      <c r="G1071" s="2">
        <v>7967888.3200000003</v>
      </c>
    </row>
    <row r="1072" spans="1:7" x14ac:dyDescent="0.25">
      <c r="A1072" s="1">
        <v>45047</v>
      </c>
      <c r="B1072" t="s">
        <v>24</v>
      </c>
      <c r="C1072" t="s">
        <v>148</v>
      </c>
      <c r="D1072" s="2">
        <v>11475904.35</v>
      </c>
      <c r="E1072" s="2">
        <v>12466921.609999999</v>
      </c>
      <c r="F1072" s="2">
        <v>12665438.529999999</v>
      </c>
      <c r="G1072" s="2">
        <v>47921.03</v>
      </c>
    </row>
    <row r="1073" spans="1:7" x14ac:dyDescent="0.25">
      <c r="A1073" s="1">
        <v>45047</v>
      </c>
      <c r="B1073" t="s">
        <v>22</v>
      </c>
      <c r="C1073" t="s">
        <v>149</v>
      </c>
      <c r="D1073" s="2">
        <v>128834857.56</v>
      </c>
      <c r="E1073" s="2">
        <v>126462116.76000001</v>
      </c>
      <c r="F1073" s="2">
        <v>120459000.90000001</v>
      </c>
      <c r="G1073" s="2">
        <v>11347319.279999999</v>
      </c>
    </row>
    <row r="1074" spans="1:7" x14ac:dyDescent="0.25">
      <c r="A1074" s="1">
        <v>45047</v>
      </c>
      <c r="B1074" t="s">
        <v>22</v>
      </c>
      <c r="C1074" t="s">
        <v>150</v>
      </c>
      <c r="D1074" s="2">
        <v>124946117.84</v>
      </c>
      <c r="E1074" s="2">
        <v>60480218.859999999</v>
      </c>
      <c r="F1074" s="2">
        <v>60801967.939999998</v>
      </c>
      <c r="G1074" s="2">
        <v>4122341.9</v>
      </c>
    </row>
    <row r="1075" spans="1:7" x14ac:dyDescent="0.25">
      <c r="A1075" s="1">
        <v>45047</v>
      </c>
      <c r="B1075" t="s">
        <v>77</v>
      </c>
      <c r="C1075" t="s">
        <v>151</v>
      </c>
      <c r="D1075" s="2">
        <v>11813206.83</v>
      </c>
      <c r="E1075" s="2">
        <v>34219062.75</v>
      </c>
      <c r="F1075" s="2">
        <v>31888342.25</v>
      </c>
      <c r="G1075" s="2">
        <v>197190.08</v>
      </c>
    </row>
    <row r="1076" spans="1:7" x14ac:dyDescent="0.25">
      <c r="A1076" s="1">
        <v>45047</v>
      </c>
      <c r="B1076" t="s">
        <v>22</v>
      </c>
      <c r="C1076" t="s">
        <v>152</v>
      </c>
      <c r="D1076" s="2">
        <v>3266202.6</v>
      </c>
      <c r="E1076" s="2">
        <v>6929760.2199999997</v>
      </c>
      <c r="F1076" s="2">
        <v>7002792.9800000004</v>
      </c>
      <c r="G1076" s="2">
        <v>94491.87</v>
      </c>
    </row>
    <row r="1077" spans="1:7" x14ac:dyDescent="0.25">
      <c r="A1077" s="1">
        <v>45047</v>
      </c>
      <c r="B1077" t="s">
        <v>24</v>
      </c>
      <c r="C1077" t="s">
        <v>153</v>
      </c>
      <c r="D1077" s="2">
        <v>10305585.130000001</v>
      </c>
      <c r="E1077" s="2">
        <v>24262775.02</v>
      </c>
      <c r="F1077" s="2">
        <v>23949893.09</v>
      </c>
      <c r="G1077" s="2">
        <v>3212711.04</v>
      </c>
    </row>
    <row r="1078" spans="1:7" x14ac:dyDescent="0.25">
      <c r="A1078" s="1">
        <v>45047</v>
      </c>
      <c r="B1078" t="s">
        <v>37</v>
      </c>
      <c r="C1078" t="s">
        <v>154</v>
      </c>
      <c r="D1078" s="2">
        <v>6292208.3399999999</v>
      </c>
      <c r="E1078" s="2">
        <v>31069966.539999999</v>
      </c>
      <c r="F1078" s="2">
        <v>26094060.760000002</v>
      </c>
      <c r="G1078" s="2">
        <v>2333561.42</v>
      </c>
    </row>
    <row r="1079" spans="1:7" x14ac:dyDescent="0.25">
      <c r="A1079" s="1">
        <v>45047</v>
      </c>
      <c r="B1079" t="s">
        <v>37</v>
      </c>
      <c r="C1079" t="s">
        <v>155</v>
      </c>
      <c r="D1079" s="2">
        <v>22796533.760000002</v>
      </c>
      <c r="E1079" s="2">
        <v>35990733.109999999</v>
      </c>
      <c r="F1079" s="2">
        <v>30200875.289999999</v>
      </c>
      <c r="G1079" s="2">
        <v>1823091.19</v>
      </c>
    </row>
    <row r="1080" spans="1:7" x14ac:dyDescent="0.25">
      <c r="A1080" s="1">
        <v>45047</v>
      </c>
      <c r="B1080" t="s">
        <v>37</v>
      </c>
      <c r="C1080" t="s">
        <v>156</v>
      </c>
      <c r="D1080" s="2">
        <v>14922896.5</v>
      </c>
      <c r="E1080" s="2">
        <v>57632463.25</v>
      </c>
      <c r="F1080" s="2">
        <v>47757407.229999997</v>
      </c>
      <c r="G1080" s="2">
        <v>1709376.39</v>
      </c>
    </row>
    <row r="1081" spans="1:7" x14ac:dyDescent="0.25">
      <c r="A1081" s="1">
        <v>45047</v>
      </c>
      <c r="B1081" t="s">
        <v>37</v>
      </c>
      <c r="C1081" t="s">
        <v>157</v>
      </c>
      <c r="D1081" s="2">
        <v>76371142.709999993</v>
      </c>
      <c r="E1081" s="2">
        <v>52744913.109999999</v>
      </c>
      <c r="F1081" s="2">
        <v>43599863.270000003</v>
      </c>
      <c r="G1081" s="2">
        <v>4356406.09</v>
      </c>
    </row>
    <row r="1082" spans="1:7" x14ac:dyDescent="0.25">
      <c r="A1082" s="1">
        <v>45047</v>
      </c>
      <c r="B1082" t="s">
        <v>37</v>
      </c>
      <c r="C1082" t="s">
        <v>158</v>
      </c>
      <c r="D1082" s="2">
        <v>16089728.689999999</v>
      </c>
      <c r="E1082" s="2">
        <v>33883871.5</v>
      </c>
      <c r="F1082" s="2">
        <v>28591003.309999999</v>
      </c>
      <c r="G1082" s="2">
        <v>3771652.72</v>
      </c>
    </row>
    <row r="1083" spans="1:7" x14ac:dyDescent="0.25">
      <c r="A1083" s="1">
        <v>45047</v>
      </c>
      <c r="B1083" t="s">
        <v>37</v>
      </c>
      <c r="C1083" t="s">
        <v>159</v>
      </c>
      <c r="D1083" s="2">
        <v>23905743.370000001</v>
      </c>
      <c r="E1083" s="2">
        <v>22734228.25</v>
      </c>
      <c r="F1083" s="2">
        <v>21702019.170000002</v>
      </c>
      <c r="G1083" s="2">
        <v>8822992.6099999994</v>
      </c>
    </row>
    <row r="1084" spans="1:7" x14ac:dyDescent="0.25">
      <c r="A1084" s="1">
        <v>45047</v>
      </c>
      <c r="B1084" t="s">
        <v>37</v>
      </c>
      <c r="C1084" t="s">
        <v>160</v>
      </c>
      <c r="D1084" s="2">
        <v>7478003.7400000002</v>
      </c>
      <c r="E1084" s="2">
        <v>43410298.140000001</v>
      </c>
      <c r="F1084" s="2">
        <v>36169349.840000004</v>
      </c>
      <c r="G1084" s="2">
        <v>2448720.7000000002</v>
      </c>
    </row>
    <row r="1085" spans="1:7" x14ac:dyDescent="0.25">
      <c r="A1085" s="1">
        <v>45047</v>
      </c>
      <c r="B1085" t="s">
        <v>37</v>
      </c>
      <c r="C1085" t="s">
        <v>161</v>
      </c>
      <c r="D1085" s="2">
        <v>5287604.74</v>
      </c>
      <c r="E1085" s="2">
        <v>39437935.710000001</v>
      </c>
      <c r="F1085" s="2">
        <v>32811997.050000001</v>
      </c>
      <c r="G1085" s="2">
        <v>2245534.79</v>
      </c>
    </row>
    <row r="1086" spans="1:7" x14ac:dyDescent="0.25">
      <c r="A1086" s="1">
        <v>45047</v>
      </c>
      <c r="B1086" t="s">
        <v>37</v>
      </c>
      <c r="C1086" t="s">
        <v>162</v>
      </c>
      <c r="D1086" s="2">
        <v>11477800.65</v>
      </c>
      <c r="E1086" s="2">
        <v>52044006.469999999</v>
      </c>
      <c r="F1086" s="2">
        <v>43800336.960000001</v>
      </c>
      <c r="G1086" s="2">
        <v>1444986.45</v>
      </c>
    </row>
    <row r="1087" spans="1:7" x14ac:dyDescent="0.25">
      <c r="A1087" s="1">
        <v>45047</v>
      </c>
      <c r="B1087" t="s">
        <v>37</v>
      </c>
      <c r="C1087" t="s">
        <v>163</v>
      </c>
      <c r="D1087" s="2">
        <v>10046226.029999999</v>
      </c>
      <c r="E1087" s="2">
        <v>22483617.75</v>
      </c>
      <c r="F1087" s="2">
        <v>20020899.84</v>
      </c>
      <c r="G1087" s="2">
        <v>5465573.25</v>
      </c>
    </row>
    <row r="1088" spans="1:7" x14ac:dyDescent="0.25">
      <c r="A1088" s="1">
        <v>45047</v>
      </c>
      <c r="B1088" t="s">
        <v>37</v>
      </c>
      <c r="C1088" t="s">
        <v>164</v>
      </c>
      <c r="D1088" s="2">
        <v>20742351.640000001</v>
      </c>
      <c r="E1088" s="2">
        <v>13236131.529999999</v>
      </c>
      <c r="F1088" s="2">
        <v>11231958.050000001</v>
      </c>
      <c r="G1088" s="2">
        <v>1027178.69</v>
      </c>
    </row>
    <row r="1089" spans="1:7" x14ac:dyDescent="0.25">
      <c r="A1089" s="1">
        <v>45047</v>
      </c>
      <c r="B1089" t="s">
        <v>37</v>
      </c>
      <c r="C1089" t="s">
        <v>165</v>
      </c>
      <c r="D1089" s="2">
        <v>12568926.59</v>
      </c>
      <c r="E1089" s="2">
        <v>56065400.740000002</v>
      </c>
      <c r="F1089" s="2">
        <v>46842099.969999999</v>
      </c>
      <c r="G1089" s="2">
        <v>2727308.54</v>
      </c>
    </row>
    <row r="1090" spans="1:7" x14ac:dyDescent="0.25">
      <c r="A1090" s="1">
        <v>45047</v>
      </c>
      <c r="B1090" t="s">
        <v>37</v>
      </c>
      <c r="C1090" t="s">
        <v>166</v>
      </c>
      <c r="D1090" s="2">
        <v>8145239</v>
      </c>
      <c r="E1090" s="2">
        <v>25772741.109999999</v>
      </c>
      <c r="F1090" s="2">
        <v>21474654.41</v>
      </c>
      <c r="G1090" s="2">
        <v>1191737.82</v>
      </c>
    </row>
    <row r="1091" spans="1:7" x14ac:dyDescent="0.25">
      <c r="A1091" s="1">
        <v>45047</v>
      </c>
      <c r="B1091" t="s">
        <v>37</v>
      </c>
      <c r="C1091" t="s">
        <v>167</v>
      </c>
      <c r="D1091" s="2">
        <v>22555395.010000002</v>
      </c>
      <c r="E1091" s="2">
        <v>87910670.560000002</v>
      </c>
      <c r="F1091" s="2">
        <v>73832722.049999997</v>
      </c>
      <c r="G1091" s="2">
        <v>7595410.4900000002</v>
      </c>
    </row>
    <row r="1092" spans="1:7" x14ac:dyDescent="0.25">
      <c r="A1092" s="1">
        <v>45047</v>
      </c>
      <c r="B1092" t="s">
        <v>37</v>
      </c>
      <c r="C1092" t="s">
        <v>168</v>
      </c>
      <c r="D1092" s="2">
        <v>31854413.690000001</v>
      </c>
      <c r="E1092" s="2">
        <v>11495171.880000001</v>
      </c>
      <c r="F1092" s="2">
        <v>9925186.2699999996</v>
      </c>
      <c r="G1092" s="2">
        <v>489738.95</v>
      </c>
    </row>
    <row r="1093" spans="1:7" x14ac:dyDescent="0.25">
      <c r="A1093" s="1">
        <v>45047</v>
      </c>
      <c r="B1093" t="s">
        <v>37</v>
      </c>
      <c r="C1093" t="s">
        <v>169</v>
      </c>
      <c r="D1093" s="2">
        <v>1349459.38</v>
      </c>
      <c r="E1093" s="2">
        <v>9386317.3399999999</v>
      </c>
      <c r="F1093" s="2">
        <v>7741999.7599999998</v>
      </c>
      <c r="G1093" s="2">
        <v>1105466.56</v>
      </c>
    </row>
    <row r="1094" spans="1:7" x14ac:dyDescent="0.25">
      <c r="A1094" s="1">
        <v>45047</v>
      </c>
      <c r="B1094" t="s">
        <v>37</v>
      </c>
      <c r="C1094" t="s">
        <v>170</v>
      </c>
      <c r="D1094" s="2">
        <v>11203767.390000001</v>
      </c>
      <c r="E1094" s="2">
        <v>34220399.310000002</v>
      </c>
      <c r="F1094" s="2">
        <v>29711539.699999999</v>
      </c>
      <c r="G1094" s="2">
        <v>3368292.16</v>
      </c>
    </row>
    <row r="1095" spans="1:7" x14ac:dyDescent="0.25">
      <c r="A1095" s="1">
        <v>45047</v>
      </c>
      <c r="B1095" t="s">
        <v>37</v>
      </c>
      <c r="C1095" t="s">
        <v>171</v>
      </c>
      <c r="D1095" s="2">
        <v>20679955.530000001</v>
      </c>
      <c r="E1095" s="2">
        <v>73691134.159999996</v>
      </c>
      <c r="F1095" s="2">
        <v>61061986.130000003</v>
      </c>
      <c r="G1095" s="2">
        <v>2626949.2999999998</v>
      </c>
    </row>
    <row r="1096" spans="1:7" x14ac:dyDescent="0.25">
      <c r="A1096" s="1">
        <v>45047</v>
      </c>
      <c r="B1096" t="s">
        <v>37</v>
      </c>
      <c r="C1096" t="s">
        <v>172</v>
      </c>
      <c r="D1096" s="2">
        <v>181962816.43000001</v>
      </c>
      <c r="E1096" s="2">
        <v>66465016.969999999</v>
      </c>
      <c r="F1096" s="2">
        <v>56275978.729999997</v>
      </c>
      <c r="G1096" s="2">
        <v>4531858.4000000004</v>
      </c>
    </row>
    <row r="1097" spans="1:7" x14ac:dyDescent="0.25">
      <c r="A1097" s="1">
        <v>45047</v>
      </c>
      <c r="B1097" t="s">
        <v>37</v>
      </c>
      <c r="C1097" t="s">
        <v>173</v>
      </c>
      <c r="D1097" s="2">
        <v>16585145.560000001</v>
      </c>
      <c r="E1097" s="2">
        <v>60254499.539999999</v>
      </c>
      <c r="F1097" s="2">
        <v>50014056.979999997</v>
      </c>
      <c r="G1097" s="2">
        <v>6515107.1699999999</v>
      </c>
    </row>
    <row r="1098" spans="1:7" x14ac:dyDescent="0.25">
      <c r="A1098" s="1">
        <v>45047</v>
      </c>
      <c r="B1098" t="s">
        <v>37</v>
      </c>
      <c r="C1098" t="s">
        <v>174</v>
      </c>
      <c r="D1098" s="2">
        <v>19784827.109999999</v>
      </c>
      <c r="E1098" s="2">
        <v>43994578.409999996</v>
      </c>
      <c r="F1098" s="2">
        <v>36126674.270000003</v>
      </c>
      <c r="G1098" s="2">
        <v>2329657.8199999998</v>
      </c>
    </row>
    <row r="1099" spans="1:7" x14ac:dyDescent="0.25">
      <c r="A1099" s="1">
        <v>45047</v>
      </c>
      <c r="B1099" t="s">
        <v>37</v>
      </c>
      <c r="C1099" t="s">
        <v>175</v>
      </c>
      <c r="D1099" s="2">
        <v>20493123.07</v>
      </c>
      <c r="E1099" s="2">
        <v>19991044.809999999</v>
      </c>
      <c r="F1099" s="2">
        <v>17244426.219999999</v>
      </c>
      <c r="G1099" s="2">
        <v>4510350.28</v>
      </c>
    </row>
    <row r="1100" spans="1:7" x14ac:dyDescent="0.25">
      <c r="A1100" s="1">
        <v>45047</v>
      </c>
      <c r="B1100" t="s">
        <v>37</v>
      </c>
      <c r="C1100" t="s">
        <v>176</v>
      </c>
      <c r="D1100" s="2">
        <v>4863498.7</v>
      </c>
      <c r="E1100" s="2">
        <v>24593426</v>
      </c>
      <c r="F1100" s="2">
        <v>21242544.469999999</v>
      </c>
      <c r="G1100" s="2">
        <v>1256089.74</v>
      </c>
    </row>
    <row r="1101" spans="1:7" x14ac:dyDescent="0.25">
      <c r="A1101" s="1">
        <v>45047</v>
      </c>
      <c r="B1101" t="s">
        <v>37</v>
      </c>
      <c r="C1101" t="s">
        <v>177</v>
      </c>
      <c r="D1101" s="2">
        <v>304546589.66000003</v>
      </c>
      <c r="E1101" s="2">
        <v>41744141.630000003</v>
      </c>
      <c r="F1101" s="2">
        <v>34966065.409999996</v>
      </c>
      <c r="G1101" s="2">
        <v>2327128.79</v>
      </c>
    </row>
    <row r="1102" spans="1:7" x14ac:dyDescent="0.25">
      <c r="A1102" s="1">
        <v>45047</v>
      </c>
      <c r="B1102" t="s">
        <v>37</v>
      </c>
      <c r="C1102" t="s">
        <v>178</v>
      </c>
      <c r="D1102" s="2">
        <v>10051993.42</v>
      </c>
      <c r="E1102" s="2">
        <v>47022912.439999998</v>
      </c>
      <c r="F1102" s="2">
        <v>39771794.310000002</v>
      </c>
      <c r="G1102" s="2">
        <v>1629071.8</v>
      </c>
    </row>
    <row r="1103" spans="1:7" x14ac:dyDescent="0.25">
      <c r="A1103" s="1">
        <v>45047</v>
      </c>
      <c r="B1103" t="s">
        <v>37</v>
      </c>
      <c r="C1103" t="s">
        <v>179</v>
      </c>
      <c r="D1103" s="2">
        <v>8777739.8499999996</v>
      </c>
      <c r="E1103" s="2">
        <v>45812479.460000001</v>
      </c>
      <c r="F1103" s="2">
        <v>37874303.960000001</v>
      </c>
      <c r="G1103" s="2">
        <v>2080223.79</v>
      </c>
    </row>
    <row r="1104" spans="1:7" x14ac:dyDescent="0.25">
      <c r="A1104" s="1">
        <v>45047</v>
      </c>
      <c r="B1104" t="s">
        <v>37</v>
      </c>
      <c r="C1104" t="s">
        <v>180</v>
      </c>
      <c r="D1104" s="2">
        <v>9007364.1799999997</v>
      </c>
      <c r="E1104" s="2">
        <v>41470868.670000002</v>
      </c>
      <c r="F1104" s="2">
        <v>34998599.409999996</v>
      </c>
      <c r="G1104" s="2">
        <v>860491.33</v>
      </c>
    </row>
    <row r="1105" spans="1:7" x14ac:dyDescent="0.25">
      <c r="A1105" s="1">
        <v>45047</v>
      </c>
      <c r="B1105" t="s">
        <v>37</v>
      </c>
      <c r="C1105" t="s">
        <v>181</v>
      </c>
      <c r="D1105" s="2">
        <v>17099305.629999999</v>
      </c>
      <c r="E1105" s="2">
        <v>58284741.759999998</v>
      </c>
      <c r="F1105" s="2">
        <v>47984211.659999996</v>
      </c>
      <c r="G1105" s="2">
        <v>5869411.6100000003</v>
      </c>
    </row>
    <row r="1106" spans="1:7" x14ac:dyDescent="0.25">
      <c r="A1106" s="1">
        <v>45047</v>
      </c>
      <c r="B1106" t="s">
        <v>37</v>
      </c>
      <c r="C1106" t="s">
        <v>182</v>
      </c>
      <c r="D1106" s="2">
        <v>8598751.9000000004</v>
      </c>
      <c r="E1106" s="2">
        <v>43554037.880000003</v>
      </c>
      <c r="F1106" s="2">
        <v>35848610.82</v>
      </c>
      <c r="G1106" s="2">
        <v>1259557.53</v>
      </c>
    </row>
    <row r="1107" spans="1:7" x14ac:dyDescent="0.25">
      <c r="A1107" s="1">
        <v>45047</v>
      </c>
      <c r="B1107" t="s">
        <v>37</v>
      </c>
      <c r="C1107" t="s">
        <v>183</v>
      </c>
      <c r="D1107" s="2">
        <v>8355375.5300000003</v>
      </c>
      <c r="E1107" s="2">
        <v>18025917.100000001</v>
      </c>
      <c r="F1107" s="2">
        <v>15349305.35</v>
      </c>
      <c r="G1107" s="2">
        <v>1013767.36</v>
      </c>
    </row>
    <row r="1108" spans="1:7" x14ac:dyDescent="0.25">
      <c r="A1108" s="1">
        <v>45047</v>
      </c>
      <c r="B1108" t="s">
        <v>37</v>
      </c>
      <c r="C1108" t="s">
        <v>184</v>
      </c>
      <c r="D1108" s="2">
        <v>7896655.7800000003</v>
      </c>
      <c r="E1108" s="2">
        <v>26787753.350000001</v>
      </c>
      <c r="F1108" s="2">
        <v>22702254.890000001</v>
      </c>
      <c r="G1108" s="2">
        <v>2269241.09</v>
      </c>
    </row>
    <row r="1109" spans="1:7" x14ac:dyDescent="0.25">
      <c r="A1109" s="1">
        <v>45047</v>
      </c>
      <c r="B1109" t="s">
        <v>37</v>
      </c>
      <c r="C1109" t="s">
        <v>185</v>
      </c>
      <c r="D1109" s="2">
        <v>18524439.039999999</v>
      </c>
      <c r="E1109" s="2">
        <v>25894920.300000001</v>
      </c>
      <c r="F1109" s="2">
        <v>22485209.010000002</v>
      </c>
      <c r="G1109" s="2">
        <v>4695082.66</v>
      </c>
    </row>
    <row r="1110" spans="1:7" x14ac:dyDescent="0.25">
      <c r="A1110" s="1">
        <v>45047</v>
      </c>
      <c r="B1110" t="s">
        <v>37</v>
      </c>
      <c r="C1110" t="s">
        <v>186</v>
      </c>
      <c r="D1110" s="2">
        <v>9952000.7799999993</v>
      </c>
      <c r="E1110" s="2">
        <v>23570380.190000001</v>
      </c>
      <c r="F1110" s="2">
        <v>19737103.350000001</v>
      </c>
      <c r="G1110" s="2">
        <v>897330.69</v>
      </c>
    </row>
    <row r="1111" spans="1:7" x14ac:dyDescent="0.25">
      <c r="A1111" s="1">
        <v>45047</v>
      </c>
      <c r="B1111" t="s">
        <v>37</v>
      </c>
      <c r="C1111" t="s">
        <v>187</v>
      </c>
      <c r="D1111" s="2">
        <v>6403086.2999999998</v>
      </c>
      <c r="E1111" s="2">
        <v>22671722.629999999</v>
      </c>
      <c r="F1111" s="2">
        <v>18811720.07</v>
      </c>
      <c r="G1111" s="2">
        <v>1003808.77</v>
      </c>
    </row>
    <row r="1112" spans="1:7" x14ac:dyDescent="0.25">
      <c r="A1112" s="1">
        <v>45047</v>
      </c>
      <c r="B1112" t="s">
        <v>37</v>
      </c>
      <c r="C1112" t="s">
        <v>188</v>
      </c>
      <c r="D1112" s="2">
        <v>163355948.31</v>
      </c>
      <c r="E1112" s="2">
        <v>29372414.469999999</v>
      </c>
      <c r="F1112" s="2">
        <v>24996340.620000001</v>
      </c>
      <c r="G1112" s="2">
        <v>1606047.79</v>
      </c>
    </row>
    <row r="1113" spans="1:7" x14ac:dyDescent="0.25">
      <c r="A1113" s="1">
        <v>45047</v>
      </c>
      <c r="B1113" t="s">
        <v>37</v>
      </c>
      <c r="C1113" t="s">
        <v>189</v>
      </c>
      <c r="D1113" s="2">
        <v>8223844.7400000002</v>
      </c>
      <c r="E1113" s="2">
        <v>38707482.189999998</v>
      </c>
      <c r="F1113" s="2">
        <v>33113991.48</v>
      </c>
      <c r="G1113" s="2">
        <v>2305839.52</v>
      </c>
    </row>
    <row r="1114" spans="1:7" x14ac:dyDescent="0.25">
      <c r="A1114" s="1">
        <v>45047</v>
      </c>
      <c r="B1114" t="s">
        <v>37</v>
      </c>
      <c r="C1114" t="s">
        <v>190</v>
      </c>
      <c r="D1114" s="2">
        <v>8723028.8300000001</v>
      </c>
      <c r="E1114" s="2">
        <v>31726308.73</v>
      </c>
      <c r="F1114" s="2">
        <v>30213357.120000001</v>
      </c>
      <c r="G1114" s="2">
        <v>2467175.77</v>
      </c>
    </row>
    <row r="1115" spans="1:7" x14ac:dyDescent="0.25">
      <c r="A1115" s="1">
        <v>45047</v>
      </c>
      <c r="B1115" t="s">
        <v>37</v>
      </c>
      <c r="C1115" t="s">
        <v>191</v>
      </c>
      <c r="D1115" s="2">
        <v>12011167.32</v>
      </c>
      <c r="E1115" s="2">
        <v>42441282.380000003</v>
      </c>
      <c r="F1115" s="2">
        <v>35243994.719999999</v>
      </c>
      <c r="G1115" s="2">
        <v>1441195.66</v>
      </c>
    </row>
    <row r="1116" spans="1:7" x14ac:dyDescent="0.25">
      <c r="A1116" s="1">
        <v>45047</v>
      </c>
      <c r="B1116" t="s">
        <v>192</v>
      </c>
      <c r="C1116" t="s">
        <v>193</v>
      </c>
      <c r="D1116" s="2">
        <v>309979.98</v>
      </c>
      <c r="E1116" s="2">
        <v>31198076.530000001</v>
      </c>
      <c r="F1116" s="2">
        <v>26631670.199999999</v>
      </c>
      <c r="G1116" s="2">
        <v>199090.72</v>
      </c>
    </row>
    <row r="1117" spans="1:7" x14ac:dyDescent="0.25">
      <c r="A1117" s="1">
        <v>45047</v>
      </c>
      <c r="B1117" t="s">
        <v>53</v>
      </c>
      <c r="C1117" t="s">
        <v>194</v>
      </c>
      <c r="D1117" s="2">
        <v>25263540.02</v>
      </c>
      <c r="E1117" s="2">
        <v>113675940.45999999</v>
      </c>
      <c r="F1117" s="2">
        <v>103087954.28</v>
      </c>
      <c r="G1117" s="2">
        <v>19021198.82</v>
      </c>
    </row>
    <row r="1118" spans="1:7" x14ac:dyDescent="0.25">
      <c r="A1118" s="1">
        <v>45047</v>
      </c>
      <c r="B1118" t="s">
        <v>37</v>
      </c>
      <c r="C1118" t="s">
        <v>195</v>
      </c>
      <c r="D1118" s="2">
        <v>66147107.07</v>
      </c>
      <c r="E1118" s="2">
        <v>27470409.09</v>
      </c>
      <c r="F1118" s="2">
        <v>27168214.199999999</v>
      </c>
      <c r="G1118" s="2">
        <v>37028591.259999998</v>
      </c>
    </row>
    <row r="1119" spans="1:7" x14ac:dyDescent="0.25">
      <c r="A1119" s="1">
        <v>45047</v>
      </c>
      <c r="B1119" t="s">
        <v>192</v>
      </c>
      <c r="C1119" t="s">
        <v>196</v>
      </c>
      <c r="D1119" s="2">
        <v>67433276.939999998</v>
      </c>
      <c r="E1119" s="2">
        <v>66804262.469999999</v>
      </c>
      <c r="F1119" s="2">
        <v>60455418.75</v>
      </c>
      <c r="G1119" s="2">
        <v>803600.61</v>
      </c>
    </row>
    <row r="1120" spans="1:7" x14ac:dyDescent="0.25">
      <c r="A1120" s="1">
        <v>45047</v>
      </c>
      <c r="B1120" t="s">
        <v>61</v>
      </c>
      <c r="C1120" t="s">
        <v>197</v>
      </c>
      <c r="D1120" s="2">
        <v>344285.68</v>
      </c>
      <c r="E1120" s="2">
        <v>3009292.48</v>
      </c>
      <c r="F1120" s="2">
        <v>2473184.23</v>
      </c>
      <c r="G1120" s="2">
        <v>375964.97</v>
      </c>
    </row>
    <row r="1121" spans="1:7" x14ac:dyDescent="0.25">
      <c r="A1121" s="1">
        <v>45047</v>
      </c>
      <c r="B1121" t="s">
        <v>125</v>
      </c>
      <c r="C1121" t="s">
        <v>198</v>
      </c>
      <c r="D1121" s="2">
        <v>890237830.28999996</v>
      </c>
      <c r="E1121" s="2">
        <v>8387215863.5</v>
      </c>
      <c r="F1121" s="2">
        <v>8157353541.29</v>
      </c>
      <c r="G1121" s="2">
        <v>11590228.73</v>
      </c>
    </row>
    <row r="1122" spans="1:7" x14ac:dyDescent="0.25">
      <c r="A1122" s="1">
        <v>45047</v>
      </c>
      <c r="B1122" t="s">
        <v>63</v>
      </c>
      <c r="C1122" t="s">
        <v>199</v>
      </c>
      <c r="D1122" s="2">
        <v>483851469.45999998</v>
      </c>
      <c r="E1122" s="2">
        <v>736090624.61000001</v>
      </c>
      <c r="F1122" s="2">
        <v>496270695.81</v>
      </c>
      <c r="G1122" s="2">
        <v>343536347.56999999</v>
      </c>
    </row>
    <row r="1123" spans="1:7" x14ac:dyDescent="0.25">
      <c r="A1123" s="1">
        <v>45047</v>
      </c>
      <c r="B1123" t="s">
        <v>9</v>
      </c>
      <c r="C1123" t="s">
        <v>200</v>
      </c>
      <c r="D1123" s="2">
        <v>110413662.98</v>
      </c>
      <c r="E1123" s="2">
        <v>186483917.28</v>
      </c>
      <c r="F1123" s="2">
        <v>172711917.94999999</v>
      </c>
      <c r="G1123" s="2">
        <v>10764501.390000001</v>
      </c>
    </row>
    <row r="1124" spans="1:7" x14ac:dyDescent="0.25">
      <c r="A1124" s="1">
        <v>45047</v>
      </c>
      <c r="B1124" t="s">
        <v>24</v>
      </c>
      <c r="C1124" t="s">
        <v>201</v>
      </c>
      <c r="D1124" s="2">
        <v>29525350.75</v>
      </c>
      <c r="E1124" s="2">
        <v>9848278.8100000005</v>
      </c>
      <c r="F1124" s="2">
        <v>9345629.3300000001</v>
      </c>
      <c r="G1124" s="2">
        <v>9646587.9199999999</v>
      </c>
    </row>
    <row r="1125" spans="1:7" x14ac:dyDescent="0.25">
      <c r="A1125" s="1">
        <v>45047</v>
      </c>
      <c r="B1125" t="s">
        <v>29</v>
      </c>
      <c r="C1125" t="s">
        <v>202</v>
      </c>
      <c r="D1125" s="2">
        <v>98332740.010000005</v>
      </c>
      <c r="E1125" s="2">
        <v>54632817.229999997</v>
      </c>
      <c r="F1125" s="2">
        <v>53108140.189999998</v>
      </c>
      <c r="G1125" s="2">
        <v>61467155.859999999</v>
      </c>
    </row>
    <row r="1126" spans="1:7" x14ac:dyDescent="0.25">
      <c r="A1126" s="1">
        <v>45047</v>
      </c>
      <c r="B1126" t="s">
        <v>37</v>
      </c>
      <c r="C1126" t="s">
        <v>203</v>
      </c>
      <c r="D1126" s="2">
        <v>109883727.26000001</v>
      </c>
      <c r="E1126" s="2">
        <v>82055365.200000003</v>
      </c>
      <c r="F1126" s="2">
        <v>74709317.269999996</v>
      </c>
      <c r="G1126" s="2">
        <v>3160632.44</v>
      </c>
    </row>
    <row r="1127" spans="1:7" x14ac:dyDescent="0.25">
      <c r="A1127" s="1">
        <v>45047</v>
      </c>
      <c r="B1127" t="s">
        <v>45</v>
      </c>
      <c r="C1127" t="s">
        <v>204</v>
      </c>
      <c r="D1127" s="2">
        <v>300849262524.27002</v>
      </c>
      <c r="E1127" s="2">
        <v>313489690837.65997</v>
      </c>
      <c r="F1127" s="2">
        <v>313384096899.04999</v>
      </c>
      <c r="G1127" s="2">
        <v>147923459.27000001</v>
      </c>
    </row>
    <row r="1128" spans="1:7" x14ac:dyDescent="0.25">
      <c r="A1128" s="1">
        <v>45047</v>
      </c>
      <c r="B1128" t="s">
        <v>75</v>
      </c>
      <c r="C1128" t="s">
        <v>205</v>
      </c>
      <c r="D1128" s="2">
        <v>4495414203</v>
      </c>
      <c r="E1128" s="2">
        <v>2727689889.6500001</v>
      </c>
      <c r="F1128" s="2">
        <v>2282988344.29</v>
      </c>
      <c r="G1128" s="2">
        <v>142369923.63</v>
      </c>
    </row>
    <row r="1129" spans="1:7" x14ac:dyDescent="0.25">
      <c r="A1129" s="1">
        <v>45047</v>
      </c>
      <c r="B1129" t="s">
        <v>206</v>
      </c>
      <c r="C1129" t="s">
        <v>207</v>
      </c>
      <c r="D1129" s="2">
        <v>145000</v>
      </c>
      <c r="E1129" s="2">
        <v>124612.53</v>
      </c>
      <c r="F1129" s="2">
        <v>138872.85</v>
      </c>
      <c r="G1129">
        <v>0</v>
      </c>
    </row>
    <row r="1130" spans="1:7" x14ac:dyDescent="0.25">
      <c r="A1130" s="1">
        <v>45047</v>
      </c>
      <c r="B1130" t="s">
        <v>50</v>
      </c>
      <c r="C1130" t="s">
        <v>208</v>
      </c>
      <c r="D1130" s="2">
        <v>49330955.289999999</v>
      </c>
      <c r="E1130" s="2">
        <v>87508881.840000004</v>
      </c>
      <c r="F1130" s="2">
        <v>67331104.049999997</v>
      </c>
      <c r="G1130" s="2">
        <v>307976719.22000003</v>
      </c>
    </row>
    <row r="1131" spans="1:7" x14ac:dyDescent="0.25">
      <c r="A1131" s="1">
        <v>45047</v>
      </c>
      <c r="B1131" t="s">
        <v>31</v>
      </c>
      <c r="C1131" t="s">
        <v>209</v>
      </c>
      <c r="D1131" s="2">
        <v>117050867.77</v>
      </c>
      <c r="E1131" s="2">
        <v>56604291.240000002</v>
      </c>
      <c r="F1131" s="2">
        <v>54557136.920000002</v>
      </c>
      <c r="G1131" s="2">
        <v>45699389.119999997</v>
      </c>
    </row>
    <row r="1132" spans="1:7" x14ac:dyDescent="0.25">
      <c r="A1132" s="1">
        <v>45047</v>
      </c>
      <c r="B1132" t="s">
        <v>210</v>
      </c>
      <c r="C1132" t="s">
        <v>211</v>
      </c>
      <c r="D1132" s="2">
        <v>1100.93</v>
      </c>
      <c r="E1132" s="2">
        <v>227954.23</v>
      </c>
      <c r="F1132" s="2">
        <v>228559.46</v>
      </c>
      <c r="G1132" s="2">
        <v>933240.66</v>
      </c>
    </row>
    <row r="1133" spans="1:7" x14ac:dyDescent="0.25">
      <c r="A1133" s="1">
        <v>45047</v>
      </c>
      <c r="B1133" t="s">
        <v>125</v>
      </c>
      <c r="C1133" t="s">
        <v>212</v>
      </c>
      <c r="D1133" s="2">
        <v>476006</v>
      </c>
      <c r="E1133" s="2">
        <v>271491.93</v>
      </c>
      <c r="F1133" s="2">
        <v>263328.77</v>
      </c>
      <c r="G1133">
        <v>0</v>
      </c>
    </row>
    <row r="1134" spans="1:7" x14ac:dyDescent="0.25">
      <c r="A1134" s="1">
        <v>45047</v>
      </c>
      <c r="B1134" t="s">
        <v>16</v>
      </c>
      <c r="C1134" t="s">
        <v>213</v>
      </c>
      <c r="D1134" s="2">
        <v>13179303966.370001</v>
      </c>
      <c r="E1134" s="2">
        <v>10776118402.610001</v>
      </c>
      <c r="F1134" s="2">
        <v>10922420744.35</v>
      </c>
      <c r="G1134" s="2">
        <v>1270361048.71</v>
      </c>
    </row>
    <row r="1135" spans="1:7" x14ac:dyDescent="0.25">
      <c r="A1135" s="1">
        <v>45047</v>
      </c>
      <c r="B1135" t="s">
        <v>48</v>
      </c>
      <c r="C1135" t="s">
        <v>214</v>
      </c>
      <c r="D1135" s="2">
        <v>1281394491.24</v>
      </c>
      <c r="E1135" s="2">
        <v>870416755.80999994</v>
      </c>
      <c r="F1135" s="2">
        <v>866526485.61000001</v>
      </c>
      <c r="G1135" s="2">
        <v>444989980.08999997</v>
      </c>
    </row>
    <row r="1136" spans="1:7" x14ac:dyDescent="0.25">
      <c r="A1136" s="1">
        <v>45047</v>
      </c>
      <c r="B1136" t="s">
        <v>27</v>
      </c>
      <c r="C1136" t="s">
        <v>215</v>
      </c>
      <c r="D1136" s="2">
        <v>40109657.799999997</v>
      </c>
      <c r="E1136" s="2">
        <v>12913260.539999999</v>
      </c>
      <c r="F1136" s="2">
        <v>13578931.74</v>
      </c>
      <c r="G1136" s="2">
        <v>26086797.010000002</v>
      </c>
    </row>
    <row r="1137" spans="1:7" x14ac:dyDescent="0.25">
      <c r="A1137" s="1">
        <v>45047</v>
      </c>
      <c r="B1137" t="s">
        <v>216</v>
      </c>
      <c r="C1137" t="s">
        <v>217</v>
      </c>
      <c r="D1137" s="2">
        <v>260000</v>
      </c>
      <c r="E1137" s="2">
        <v>107829.59</v>
      </c>
      <c r="F1137" s="2">
        <v>108464.74</v>
      </c>
      <c r="G1137">
        <v>0</v>
      </c>
    </row>
    <row r="1138" spans="1:7" x14ac:dyDescent="0.25">
      <c r="A1138" s="1">
        <v>45047</v>
      </c>
      <c r="B1138" t="s">
        <v>69</v>
      </c>
      <c r="C1138" t="s">
        <v>218</v>
      </c>
      <c r="D1138" s="2">
        <v>336247876.56999999</v>
      </c>
      <c r="E1138" s="2">
        <v>455770832.77999997</v>
      </c>
      <c r="F1138" s="2">
        <v>450966019.80000001</v>
      </c>
      <c r="G1138" s="2">
        <v>6494737.8200000003</v>
      </c>
    </row>
    <row r="1139" spans="1:7" x14ac:dyDescent="0.25">
      <c r="A1139" s="1">
        <v>45047</v>
      </c>
      <c r="B1139" t="s">
        <v>13</v>
      </c>
      <c r="C1139" t="s">
        <v>219</v>
      </c>
      <c r="D1139" s="2">
        <v>27794544.75</v>
      </c>
      <c r="E1139" s="2">
        <v>32109573.949999999</v>
      </c>
      <c r="F1139" s="2">
        <v>23408170.199999999</v>
      </c>
      <c r="G1139" s="2">
        <v>18447.400000000001</v>
      </c>
    </row>
    <row r="1140" spans="1:7" x14ac:dyDescent="0.25">
      <c r="A1140" s="1">
        <v>45047</v>
      </c>
      <c r="B1140" t="s">
        <v>53</v>
      </c>
      <c r="C1140" t="s">
        <v>220</v>
      </c>
      <c r="D1140" s="2">
        <v>470842924.88</v>
      </c>
      <c r="E1140" s="2">
        <v>157687041.84999999</v>
      </c>
      <c r="F1140" s="2">
        <v>157696398.87</v>
      </c>
      <c r="G1140" s="2">
        <v>4256862.5</v>
      </c>
    </row>
    <row r="1141" spans="1:7" x14ac:dyDescent="0.25">
      <c r="A1141" s="1">
        <v>45047</v>
      </c>
      <c r="B1141" t="s">
        <v>130</v>
      </c>
      <c r="C1141" t="s">
        <v>221</v>
      </c>
      <c r="D1141" s="2">
        <v>222664265.13999999</v>
      </c>
      <c r="E1141" s="2">
        <v>14163998708.530001</v>
      </c>
      <c r="F1141" s="2">
        <v>14163365357.540001</v>
      </c>
      <c r="G1141" s="2">
        <v>33553027.809999999</v>
      </c>
    </row>
    <row r="1142" spans="1:7" x14ac:dyDescent="0.25">
      <c r="A1142" s="1">
        <v>45047</v>
      </c>
      <c r="B1142" t="s">
        <v>192</v>
      </c>
      <c r="C1142" t="s">
        <v>222</v>
      </c>
      <c r="D1142" s="2">
        <v>40936</v>
      </c>
      <c r="E1142" s="2">
        <v>140815.04000000001</v>
      </c>
      <c r="F1142" s="2">
        <v>136323.63</v>
      </c>
      <c r="G1142">
        <v>0</v>
      </c>
    </row>
    <row r="1143" spans="1:7" x14ac:dyDescent="0.25">
      <c r="A1143" s="1">
        <v>45047</v>
      </c>
      <c r="B1143" t="s">
        <v>223</v>
      </c>
      <c r="C1143" t="s">
        <v>224</v>
      </c>
      <c r="D1143" s="2">
        <v>89213902.890000001</v>
      </c>
      <c r="E1143" s="2">
        <v>7155517.54</v>
      </c>
      <c r="F1143" s="2">
        <v>7117199.7199999997</v>
      </c>
      <c r="G1143" s="2">
        <v>55634965.700000003</v>
      </c>
    </row>
    <row r="1144" spans="1:7" x14ac:dyDescent="0.25">
      <c r="A1144" s="1">
        <v>45047</v>
      </c>
      <c r="B1144" t="s">
        <v>22</v>
      </c>
      <c r="C1144" t="s">
        <v>225</v>
      </c>
      <c r="D1144" s="2">
        <v>2707039.31</v>
      </c>
      <c r="E1144" s="2">
        <v>16989133.02</v>
      </c>
      <c r="F1144" s="2">
        <v>14529810.060000001</v>
      </c>
      <c r="G1144" s="2">
        <v>2321557.14</v>
      </c>
    </row>
    <row r="1145" spans="1:7" x14ac:dyDescent="0.25">
      <c r="A1145" s="1">
        <v>45047</v>
      </c>
      <c r="B1145" t="s">
        <v>77</v>
      </c>
      <c r="C1145" t="s">
        <v>226</v>
      </c>
      <c r="D1145" s="2">
        <v>27184410.370000001</v>
      </c>
      <c r="E1145" s="2">
        <v>26204920.41</v>
      </c>
      <c r="F1145" s="2">
        <v>26204920.41</v>
      </c>
      <c r="G1145" s="2">
        <v>210783583.12</v>
      </c>
    </row>
    <row r="1146" spans="1:7" x14ac:dyDescent="0.25">
      <c r="A1146" s="1">
        <v>45047</v>
      </c>
      <c r="B1146" t="s">
        <v>80</v>
      </c>
      <c r="C1146" t="s">
        <v>227</v>
      </c>
      <c r="D1146" s="2">
        <v>325734514.38</v>
      </c>
      <c r="E1146" s="2">
        <v>305378816.47000003</v>
      </c>
      <c r="F1146" s="2">
        <v>256519194.69999999</v>
      </c>
      <c r="G1146" s="2">
        <v>10055599.710000001</v>
      </c>
    </row>
    <row r="1147" spans="1:7" x14ac:dyDescent="0.25">
      <c r="A1147" s="1">
        <v>45047</v>
      </c>
      <c r="B1147" t="s">
        <v>127</v>
      </c>
      <c r="C1147" t="s">
        <v>228</v>
      </c>
      <c r="D1147" s="2">
        <v>38719812.75</v>
      </c>
      <c r="E1147" s="2">
        <v>17656872.190000001</v>
      </c>
      <c r="F1147" s="2">
        <v>25427437.190000001</v>
      </c>
      <c r="G1147" s="2">
        <v>2862266.43</v>
      </c>
    </row>
    <row r="1148" spans="1:7" x14ac:dyDescent="0.25">
      <c r="A1148" s="1">
        <v>45047</v>
      </c>
      <c r="B1148" t="s">
        <v>140</v>
      </c>
      <c r="C1148" t="s">
        <v>229</v>
      </c>
      <c r="D1148" s="2">
        <v>9736884.4199999999</v>
      </c>
      <c r="E1148" s="2">
        <v>18992441.329999998</v>
      </c>
      <c r="F1148" s="2">
        <v>18401843.780000001</v>
      </c>
      <c r="G1148" s="2">
        <v>4196219.55</v>
      </c>
    </row>
    <row r="1149" spans="1:7" x14ac:dyDescent="0.25">
      <c r="A1149" s="1">
        <v>45047</v>
      </c>
      <c r="B1149" t="s">
        <v>19</v>
      </c>
      <c r="C1149" t="s">
        <v>230</v>
      </c>
      <c r="D1149" s="2">
        <v>53248251.789999999</v>
      </c>
      <c r="E1149" s="2">
        <v>30346319.719999999</v>
      </c>
      <c r="F1149" s="2">
        <v>29557386.649999999</v>
      </c>
      <c r="G1149" s="2">
        <v>323913.90999999997</v>
      </c>
    </row>
    <row r="1150" spans="1:7" x14ac:dyDescent="0.25">
      <c r="A1150" s="1">
        <v>45047</v>
      </c>
      <c r="B1150" t="s">
        <v>13</v>
      </c>
      <c r="C1150" t="s">
        <v>231</v>
      </c>
      <c r="D1150" s="2">
        <v>65130045.170000002</v>
      </c>
      <c r="E1150" s="2">
        <v>31628918.27</v>
      </c>
      <c r="F1150" s="2">
        <v>30399328.030000001</v>
      </c>
      <c r="G1150" s="2">
        <v>11737.7</v>
      </c>
    </row>
    <row r="1151" spans="1:7" x14ac:dyDescent="0.25">
      <c r="A1151" s="1">
        <v>45047</v>
      </c>
      <c r="B1151" t="s">
        <v>31</v>
      </c>
      <c r="C1151" t="s">
        <v>232</v>
      </c>
      <c r="D1151" s="2">
        <v>223250261.72999999</v>
      </c>
      <c r="E1151" s="2">
        <v>719294749.13</v>
      </c>
      <c r="F1151" s="2">
        <v>761506750.11000001</v>
      </c>
      <c r="G1151" s="2">
        <v>44472251.810000002</v>
      </c>
    </row>
    <row r="1152" spans="1:7" x14ac:dyDescent="0.25">
      <c r="A1152" s="1">
        <v>45047</v>
      </c>
      <c r="B1152" t="s">
        <v>31</v>
      </c>
      <c r="C1152" t="s">
        <v>233</v>
      </c>
      <c r="D1152" s="2">
        <v>300694284.72000003</v>
      </c>
      <c r="E1152" s="2">
        <v>472422212.19</v>
      </c>
      <c r="F1152" s="2">
        <v>476503122.79000002</v>
      </c>
      <c r="G1152" s="2">
        <v>20809788.170000002</v>
      </c>
    </row>
    <row r="1153" spans="1:7" x14ac:dyDescent="0.25">
      <c r="A1153" s="1">
        <v>45047</v>
      </c>
      <c r="B1153" t="s">
        <v>61</v>
      </c>
      <c r="C1153" t="s">
        <v>234</v>
      </c>
      <c r="D1153" s="2">
        <v>43256500.259999998</v>
      </c>
      <c r="E1153" s="2">
        <v>97531593.840000004</v>
      </c>
      <c r="F1153" s="2">
        <v>76780603.329999998</v>
      </c>
      <c r="G1153" s="2">
        <v>1390926.89</v>
      </c>
    </row>
    <row r="1154" spans="1:7" x14ac:dyDescent="0.25">
      <c r="A1154" s="1">
        <v>45047</v>
      </c>
      <c r="B1154" t="s">
        <v>22</v>
      </c>
      <c r="C1154" t="s">
        <v>235</v>
      </c>
      <c r="D1154" s="2">
        <v>102619.83</v>
      </c>
      <c r="E1154" s="2">
        <v>361490.19</v>
      </c>
      <c r="F1154" s="2">
        <v>339355.7</v>
      </c>
      <c r="G1154" s="2">
        <v>291553.99</v>
      </c>
    </row>
    <row r="1155" spans="1:7" x14ac:dyDescent="0.25">
      <c r="A1155" s="1">
        <v>45047</v>
      </c>
      <c r="B1155" t="s">
        <v>192</v>
      </c>
      <c r="C1155" t="s">
        <v>236</v>
      </c>
      <c r="D1155" s="2">
        <v>15699302.01</v>
      </c>
      <c r="E1155" s="2">
        <v>11297899.99</v>
      </c>
      <c r="F1155" s="2">
        <v>8528656.6400000006</v>
      </c>
      <c r="G1155" s="2">
        <v>1043938.68</v>
      </c>
    </row>
    <row r="1156" spans="1:7" x14ac:dyDescent="0.25">
      <c r="A1156" s="1">
        <v>45047</v>
      </c>
      <c r="B1156" t="s">
        <v>50</v>
      </c>
      <c r="C1156" t="s">
        <v>237</v>
      </c>
      <c r="D1156" s="2">
        <v>4878502.22</v>
      </c>
      <c r="E1156" s="2">
        <v>1892428.09</v>
      </c>
      <c r="F1156" s="2">
        <v>1862235.36</v>
      </c>
      <c r="G1156" s="2">
        <v>14865718.84</v>
      </c>
    </row>
    <row r="1157" spans="1:7" x14ac:dyDescent="0.25">
      <c r="A1157" s="1">
        <v>45047</v>
      </c>
      <c r="B1157" t="s">
        <v>45</v>
      </c>
      <c r="C1157" t="s">
        <v>238</v>
      </c>
      <c r="D1157" s="2">
        <v>1918569.78</v>
      </c>
      <c r="E1157" s="2">
        <v>19631062.789999999</v>
      </c>
      <c r="F1157" s="2">
        <v>16093146.460000001</v>
      </c>
      <c r="G1157">
        <v>0</v>
      </c>
    </row>
    <row r="1158" spans="1:7" x14ac:dyDescent="0.25">
      <c r="A1158" s="1">
        <v>45047</v>
      </c>
      <c r="B1158" t="s">
        <v>50</v>
      </c>
      <c r="C1158" t="s">
        <v>239</v>
      </c>
      <c r="D1158" s="2">
        <v>2943389.83</v>
      </c>
      <c r="E1158" s="2">
        <v>2713561.1</v>
      </c>
      <c r="F1158" s="2">
        <v>2684486.51</v>
      </c>
      <c r="G1158" s="2">
        <v>678276.77</v>
      </c>
    </row>
    <row r="1159" spans="1:7" x14ac:dyDescent="0.25">
      <c r="A1159" s="1">
        <v>45047</v>
      </c>
      <c r="B1159" t="s">
        <v>50</v>
      </c>
      <c r="C1159" t="s">
        <v>240</v>
      </c>
      <c r="D1159" s="2">
        <v>4101326.54</v>
      </c>
      <c r="E1159" s="2">
        <v>3668809.64</v>
      </c>
      <c r="F1159" s="2">
        <v>3586501.13</v>
      </c>
      <c r="G1159" s="2">
        <v>811000</v>
      </c>
    </row>
    <row r="1160" spans="1:7" x14ac:dyDescent="0.25">
      <c r="A1160" s="1">
        <v>45047</v>
      </c>
      <c r="B1160" t="s">
        <v>125</v>
      </c>
      <c r="C1160" t="s">
        <v>241</v>
      </c>
      <c r="D1160" s="2">
        <v>-2201863.73</v>
      </c>
      <c r="E1160" s="2">
        <v>2746383.35</v>
      </c>
      <c r="F1160" s="2">
        <v>3111414.36</v>
      </c>
      <c r="G1160" s="2">
        <v>3601.03</v>
      </c>
    </row>
    <row r="1161" spans="1:7" x14ac:dyDescent="0.25">
      <c r="A1161" s="1">
        <v>45047</v>
      </c>
      <c r="B1161" t="s">
        <v>27</v>
      </c>
      <c r="C1161" t="s">
        <v>242</v>
      </c>
      <c r="D1161" s="2">
        <v>197778348.30000001</v>
      </c>
      <c r="E1161" s="2">
        <v>46821008.079999998</v>
      </c>
      <c r="F1161" s="2">
        <v>51769685.189999998</v>
      </c>
      <c r="G1161" s="2">
        <v>10343369.949999999</v>
      </c>
    </row>
    <row r="1162" spans="1:7" x14ac:dyDescent="0.25">
      <c r="A1162" s="1">
        <v>45047</v>
      </c>
      <c r="B1162" t="s">
        <v>37</v>
      </c>
      <c r="C1162" t="s">
        <v>243</v>
      </c>
      <c r="D1162" s="2">
        <v>5414375.3200000003</v>
      </c>
      <c r="E1162" s="2">
        <v>14281453.68</v>
      </c>
      <c r="F1162" s="2">
        <v>13251207.699999999</v>
      </c>
      <c r="G1162" s="2">
        <v>1026398.06</v>
      </c>
    </row>
    <row r="1163" spans="1:7" x14ac:dyDescent="0.25">
      <c r="A1163" s="1">
        <v>45047</v>
      </c>
      <c r="B1163" t="s">
        <v>37</v>
      </c>
      <c r="C1163" t="s">
        <v>244</v>
      </c>
      <c r="D1163" s="2">
        <v>63138478.200000003</v>
      </c>
      <c r="E1163" s="2">
        <v>165505761.18000001</v>
      </c>
      <c r="F1163" s="2">
        <v>142322904.94999999</v>
      </c>
      <c r="G1163" s="2">
        <v>1675377.09</v>
      </c>
    </row>
    <row r="1164" spans="1:7" x14ac:dyDescent="0.25">
      <c r="A1164" s="1">
        <v>45047</v>
      </c>
      <c r="B1164" t="s">
        <v>37</v>
      </c>
      <c r="C1164" t="s">
        <v>245</v>
      </c>
      <c r="D1164" s="2">
        <v>64845801.719999999</v>
      </c>
      <c r="E1164" s="2">
        <v>25050282.98</v>
      </c>
      <c r="F1164" s="2">
        <v>20607477.25</v>
      </c>
      <c r="G1164" s="2">
        <v>2704308.23</v>
      </c>
    </row>
    <row r="1165" spans="1:7" x14ac:dyDescent="0.25">
      <c r="A1165" s="1">
        <v>45047</v>
      </c>
      <c r="B1165" t="s">
        <v>37</v>
      </c>
      <c r="C1165" t="s">
        <v>246</v>
      </c>
      <c r="D1165" s="2">
        <v>6639688.7199999997</v>
      </c>
      <c r="E1165" s="2">
        <v>15253369.210000001</v>
      </c>
      <c r="F1165" s="2">
        <v>12221413.039999999</v>
      </c>
      <c r="G1165" s="2">
        <v>774141.3</v>
      </c>
    </row>
    <row r="1166" spans="1:7" x14ac:dyDescent="0.25">
      <c r="A1166" s="1">
        <v>45047</v>
      </c>
      <c r="B1166" t="s">
        <v>37</v>
      </c>
      <c r="C1166" t="s">
        <v>247</v>
      </c>
      <c r="D1166" s="2">
        <v>45345032.030000001</v>
      </c>
      <c r="E1166" s="2">
        <v>166512789.74000001</v>
      </c>
      <c r="F1166" s="2">
        <v>139875651.72999999</v>
      </c>
      <c r="G1166" s="2">
        <v>2365798.16</v>
      </c>
    </row>
    <row r="1167" spans="1:7" x14ac:dyDescent="0.25">
      <c r="A1167" s="1">
        <v>45047</v>
      </c>
      <c r="B1167" t="s">
        <v>37</v>
      </c>
      <c r="C1167" t="s">
        <v>248</v>
      </c>
      <c r="D1167" s="2">
        <v>22244117.329999998</v>
      </c>
      <c r="E1167" s="2">
        <v>87534424.109999999</v>
      </c>
      <c r="F1167" s="2">
        <v>70933424.049999997</v>
      </c>
      <c r="G1167" s="2">
        <v>4118183.13</v>
      </c>
    </row>
    <row r="1168" spans="1:7" x14ac:dyDescent="0.25">
      <c r="A1168" s="1">
        <v>45047</v>
      </c>
      <c r="B1168" t="s">
        <v>37</v>
      </c>
      <c r="C1168" t="s">
        <v>249</v>
      </c>
      <c r="D1168" s="2">
        <v>13768786.93</v>
      </c>
      <c r="E1168" s="2">
        <v>23057338.100000001</v>
      </c>
      <c r="F1168" s="2">
        <v>19318461.309999999</v>
      </c>
      <c r="G1168" s="2">
        <v>1057523.8700000001</v>
      </c>
    </row>
    <row r="1169" spans="1:7" x14ac:dyDescent="0.25">
      <c r="A1169" s="1">
        <v>45047</v>
      </c>
      <c r="B1169" t="s">
        <v>37</v>
      </c>
      <c r="C1169" t="s">
        <v>250</v>
      </c>
      <c r="D1169" s="2">
        <v>5964197.21</v>
      </c>
      <c r="E1169" s="2">
        <v>65682282.450000003</v>
      </c>
      <c r="F1169" s="2">
        <v>64142207.93</v>
      </c>
      <c r="G1169" s="2">
        <v>1992261.21</v>
      </c>
    </row>
    <row r="1170" spans="1:7" x14ac:dyDescent="0.25">
      <c r="A1170" s="1">
        <v>45047</v>
      </c>
      <c r="B1170" t="s">
        <v>37</v>
      </c>
      <c r="C1170" t="s">
        <v>251</v>
      </c>
      <c r="D1170" s="2">
        <v>3754732.99</v>
      </c>
      <c r="E1170" s="2">
        <v>9582733.0899999999</v>
      </c>
      <c r="F1170" s="2">
        <v>8117974.46</v>
      </c>
      <c r="G1170" s="2">
        <v>615367.88</v>
      </c>
    </row>
    <row r="1171" spans="1:7" x14ac:dyDescent="0.25">
      <c r="A1171" s="1">
        <v>45047</v>
      </c>
      <c r="B1171" t="s">
        <v>37</v>
      </c>
      <c r="C1171" t="s">
        <v>252</v>
      </c>
      <c r="D1171" s="2">
        <v>9663175.2200000007</v>
      </c>
      <c r="E1171" s="2">
        <v>113917698.45</v>
      </c>
      <c r="F1171" s="2">
        <v>99224507.579999998</v>
      </c>
      <c r="G1171" s="2">
        <v>2483704.39</v>
      </c>
    </row>
    <row r="1172" spans="1:7" x14ac:dyDescent="0.25">
      <c r="A1172" s="1">
        <v>45047</v>
      </c>
      <c r="B1172" t="s">
        <v>37</v>
      </c>
      <c r="C1172" t="s">
        <v>253</v>
      </c>
      <c r="D1172" s="2">
        <v>3059071.09</v>
      </c>
      <c r="E1172" s="2">
        <v>20925696.449999999</v>
      </c>
      <c r="F1172" s="2">
        <v>17714777.100000001</v>
      </c>
      <c r="G1172" s="2">
        <v>1397270.67</v>
      </c>
    </row>
    <row r="1173" spans="1:7" x14ac:dyDescent="0.25">
      <c r="A1173" s="1">
        <v>45047</v>
      </c>
      <c r="B1173" t="s">
        <v>37</v>
      </c>
      <c r="C1173" t="s">
        <v>254</v>
      </c>
      <c r="D1173" s="2">
        <v>4260489.1900000004</v>
      </c>
      <c r="E1173" s="2">
        <v>9850533.6999999993</v>
      </c>
      <c r="F1173" s="2">
        <v>8537131.3900000006</v>
      </c>
      <c r="G1173" s="2">
        <v>734950.63</v>
      </c>
    </row>
    <row r="1174" spans="1:7" x14ac:dyDescent="0.25">
      <c r="A1174" s="1">
        <v>45047</v>
      </c>
      <c r="B1174" t="s">
        <v>37</v>
      </c>
      <c r="C1174" t="s">
        <v>255</v>
      </c>
      <c r="D1174" s="2">
        <v>30669714.870000001</v>
      </c>
      <c r="E1174" s="2">
        <v>84825966.599999994</v>
      </c>
      <c r="F1174" s="2">
        <v>72662423.090000004</v>
      </c>
      <c r="G1174" s="2">
        <v>1147915.8</v>
      </c>
    </row>
    <row r="1175" spans="1:7" x14ac:dyDescent="0.25">
      <c r="A1175" s="1">
        <v>45047</v>
      </c>
      <c r="B1175" t="s">
        <v>37</v>
      </c>
      <c r="C1175" t="s">
        <v>256</v>
      </c>
      <c r="D1175" s="2">
        <v>11602673.789999999</v>
      </c>
      <c r="E1175" s="2">
        <v>35441171.520000003</v>
      </c>
      <c r="F1175" s="2">
        <v>28954766.280000001</v>
      </c>
      <c r="G1175" s="2">
        <v>2115091.4300000002</v>
      </c>
    </row>
    <row r="1176" spans="1:7" x14ac:dyDescent="0.25">
      <c r="A1176" s="1">
        <v>45047</v>
      </c>
      <c r="B1176" t="s">
        <v>37</v>
      </c>
      <c r="C1176" t="s">
        <v>257</v>
      </c>
      <c r="D1176" s="2">
        <v>32038514.550000001</v>
      </c>
      <c r="E1176" s="2">
        <v>210010370.03</v>
      </c>
      <c r="F1176" s="2">
        <v>182851188.33000001</v>
      </c>
      <c r="G1176" s="2">
        <v>1027216.2</v>
      </c>
    </row>
    <row r="1177" spans="1:7" x14ac:dyDescent="0.25">
      <c r="A1177" s="1">
        <v>45047</v>
      </c>
      <c r="B1177" t="s">
        <v>37</v>
      </c>
      <c r="C1177" t="s">
        <v>258</v>
      </c>
      <c r="D1177" s="2">
        <v>16128548.470000001</v>
      </c>
      <c r="E1177" s="2">
        <v>38434192.460000001</v>
      </c>
      <c r="F1177" s="2">
        <v>33138200.579999998</v>
      </c>
      <c r="G1177" s="2">
        <v>971361.81</v>
      </c>
    </row>
    <row r="1178" spans="1:7" x14ac:dyDescent="0.25">
      <c r="A1178" s="1">
        <v>45047</v>
      </c>
      <c r="B1178" t="s">
        <v>37</v>
      </c>
      <c r="C1178" t="s">
        <v>259</v>
      </c>
      <c r="D1178" s="2">
        <v>27070380.859999999</v>
      </c>
      <c r="E1178" s="2">
        <v>156961293.41999999</v>
      </c>
      <c r="F1178" s="2">
        <v>134751125.63</v>
      </c>
      <c r="G1178" s="2">
        <v>6160828.4900000002</v>
      </c>
    </row>
    <row r="1179" spans="1:7" x14ac:dyDescent="0.25">
      <c r="A1179" s="1">
        <v>45047</v>
      </c>
      <c r="B1179" t="s">
        <v>37</v>
      </c>
      <c r="C1179" t="s">
        <v>260</v>
      </c>
      <c r="D1179" s="2">
        <v>6110238.46</v>
      </c>
      <c r="E1179" s="2">
        <v>8907455.5800000001</v>
      </c>
      <c r="F1179" s="2">
        <v>7196042.8799999999</v>
      </c>
      <c r="G1179" s="2">
        <v>548884.17000000004</v>
      </c>
    </row>
    <row r="1180" spans="1:7" x14ac:dyDescent="0.25">
      <c r="A1180" s="1">
        <v>45047</v>
      </c>
      <c r="B1180" t="s">
        <v>37</v>
      </c>
      <c r="C1180" t="s">
        <v>261</v>
      </c>
      <c r="D1180" s="2">
        <v>3032286.34</v>
      </c>
      <c r="E1180" s="2">
        <v>22061878.34</v>
      </c>
      <c r="F1180" s="2">
        <v>18529630.98</v>
      </c>
      <c r="G1180" s="2">
        <v>2237389.39</v>
      </c>
    </row>
    <row r="1181" spans="1:7" x14ac:dyDescent="0.25">
      <c r="A1181" s="1">
        <v>45047</v>
      </c>
      <c r="B1181" t="s">
        <v>37</v>
      </c>
      <c r="C1181" t="s">
        <v>262</v>
      </c>
      <c r="D1181" s="2">
        <v>38751458.060000002</v>
      </c>
      <c r="E1181" s="2">
        <v>158840132.03999999</v>
      </c>
      <c r="F1181" s="2">
        <v>136267133.03</v>
      </c>
      <c r="G1181" s="2">
        <v>4290014.32</v>
      </c>
    </row>
    <row r="1182" spans="1:7" x14ac:dyDescent="0.25">
      <c r="A1182" s="1">
        <v>45047</v>
      </c>
      <c r="B1182" t="s">
        <v>37</v>
      </c>
      <c r="C1182" t="s">
        <v>263</v>
      </c>
      <c r="D1182" s="2">
        <v>19786785.469999999</v>
      </c>
      <c r="E1182" s="2">
        <v>130091753.66</v>
      </c>
      <c r="F1182" s="2">
        <v>111840901.13</v>
      </c>
      <c r="G1182" s="2">
        <v>2616016.11</v>
      </c>
    </row>
    <row r="1183" spans="1:7" x14ac:dyDescent="0.25">
      <c r="A1183" s="1">
        <v>45047</v>
      </c>
      <c r="B1183" t="s">
        <v>37</v>
      </c>
      <c r="C1183" t="s">
        <v>264</v>
      </c>
      <c r="D1183" s="2">
        <v>31201948.09</v>
      </c>
      <c r="E1183" s="2">
        <v>124388289.33</v>
      </c>
      <c r="F1183" s="2">
        <v>104579314.15000001</v>
      </c>
      <c r="G1183" s="2">
        <v>5646643.2000000002</v>
      </c>
    </row>
    <row r="1184" spans="1:7" x14ac:dyDescent="0.25">
      <c r="A1184" s="1">
        <v>45047</v>
      </c>
      <c r="B1184" t="s">
        <v>37</v>
      </c>
      <c r="C1184" t="s">
        <v>265</v>
      </c>
      <c r="D1184" s="2">
        <v>12330831.390000001</v>
      </c>
      <c r="E1184" s="2">
        <v>82128931.040000007</v>
      </c>
      <c r="F1184" s="2">
        <v>70389231.75</v>
      </c>
      <c r="G1184" s="2">
        <v>3754830.78</v>
      </c>
    </row>
    <row r="1185" spans="1:7" x14ac:dyDescent="0.25">
      <c r="A1185" s="1">
        <v>45047</v>
      </c>
      <c r="B1185" t="s">
        <v>37</v>
      </c>
      <c r="C1185" t="s">
        <v>266</v>
      </c>
      <c r="D1185" s="2">
        <v>852209</v>
      </c>
      <c r="E1185" s="2">
        <v>4353923.6500000004</v>
      </c>
      <c r="F1185" s="2">
        <v>4199594.3</v>
      </c>
      <c r="G1185" s="2">
        <v>2800</v>
      </c>
    </row>
    <row r="1186" spans="1:7" x14ac:dyDescent="0.25">
      <c r="A1186" s="1">
        <v>45047</v>
      </c>
      <c r="B1186" t="s">
        <v>37</v>
      </c>
      <c r="C1186" t="s">
        <v>267</v>
      </c>
      <c r="D1186" s="2">
        <v>5650208.6299999999</v>
      </c>
      <c r="E1186" s="2">
        <v>12121671.85</v>
      </c>
      <c r="F1186" s="2">
        <v>11148160.02</v>
      </c>
      <c r="G1186" s="2">
        <v>1387950.91</v>
      </c>
    </row>
    <row r="1187" spans="1:7" x14ac:dyDescent="0.25">
      <c r="A1187" s="1">
        <v>45047</v>
      </c>
      <c r="B1187" t="s">
        <v>37</v>
      </c>
      <c r="C1187" t="s">
        <v>268</v>
      </c>
      <c r="D1187" s="2">
        <v>147933550.56999999</v>
      </c>
      <c r="E1187" s="2">
        <v>146389000.47</v>
      </c>
      <c r="F1187" s="2">
        <v>126071782.8</v>
      </c>
      <c r="G1187" s="2">
        <v>1848400.19</v>
      </c>
    </row>
    <row r="1188" spans="1:7" x14ac:dyDescent="0.25">
      <c r="A1188" s="1">
        <v>45047</v>
      </c>
      <c r="B1188" t="s">
        <v>37</v>
      </c>
      <c r="C1188" t="s">
        <v>269</v>
      </c>
      <c r="D1188" s="2">
        <v>7326958.5</v>
      </c>
      <c r="E1188" s="2">
        <v>6417775</v>
      </c>
      <c r="F1188" s="2">
        <v>5952204.5599999996</v>
      </c>
      <c r="G1188" s="2">
        <v>309859.42</v>
      </c>
    </row>
    <row r="1189" spans="1:7" x14ac:dyDescent="0.25">
      <c r="A1189" s="1">
        <v>45047</v>
      </c>
      <c r="B1189" t="s">
        <v>37</v>
      </c>
      <c r="C1189" t="s">
        <v>270</v>
      </c>
      <c r="D1189" s="2">
        <v>12493701.18</v>
      </c>
      <c r="E1189" s="2">
        <v>98263835.590000004</v>
      </c>
      <c r="F1189" s="2">
        <v>81321846.709999993</v>
      </c>
      <c r="G1189" s="2">
        <v>3066130.17</v>
      </c>
    </row>
    <row r="1190" spans="1:7" x14ac:dyDescent="0.25">
      <c r="A1190" s="1">
        <v>45047</v>
      </c>
      <c r="B1190" t="s">
        <v>37</v>
      </c>
      <c r="C1190" t="s">
        <v>271</v>
      </c>
      <c r="D1190" s="2">
        <v>7126074.2699999996</v>
      </c>
      <c r="E1190" s="2">
        <v>50571310.119999997</v>
      </c>
      <c r="F1190" s="2">
        <v>44661143.490000002</v>
      </c>
      <c r="G1190" s="2">
        <v>408018.93</v>
      </c>
    </row>
    <row r="1191" spans="1:7" x14ac:dyDescent="0.25">
      <c r="A1191" s="1">
        <v>45047</v>
      </c>
      <c r="B1191" t="s">
        <v>37</v>
      </c>
      <c r="C1191" t="s">
        <v>272</v>
      </c>
      <c r="D1191" s="2">
        <v>448256.66</v>
      </c>
      <c r="E1191" s="2">
        <v>483225.63</v>
      </c>
      <c r="F1191" s="2">
        <v>372584.51</v>
      </c>
      <c r="G1191" s="2">
        <v>36936</v>
      </c>
    </row>
    <row r="1192" spans="1:7" x14ac:dyDescent="0.25">
      <c r="A1192" s="1">
        <v>45047</v>
      </c>
      <c r="B1192" t="s">
        <v>37</v>
      </c>
      <c r="C1192" t="s">
        <v>273</v>
      </c>
      <c r="D1192" s="2">
        <v>887221.75</v>
      </c>
      <c r="E1192" s="2">
        <v>10107700.529999999</v>
      </c>
      <c r="F1192" s="2">
        <v>8189178.0700000003</v>
      </c>
      <c r="G1192" s="2">
        <v>342638.1</v>
      </c>
    </row>
    <row r="1193" spans="1:7" x14ac:dyDescent="0.25">
      <c r="A1193" s="1">
        <v>45047</v>
      </c>
      <c r="B1193" t="s">
        <v>37</v>
      </c>
      <c r="C1193" t="s">
        <v>274</v>
      </c>
      <c r="D1193" s="2">
        <v>6251107.7000000002</v>
      </c>
      <c r="E1193" s="2">
        <v>18219401.800000001</v>
      </c>
      <c r="F1193" s="2">
        <v>16389350.470000001</v>
      </c>
      <c r="G1193" s="2">
        <v>1075982.52</v>
      </c>
    </row>
    <row r="1194" spans="1:7" x14ac:dyDescent="0.25">
      <c r="A1194" s="1">
        <v>45047</v>
      </c>
      <c r="B1194" t="s">
        <v>37</v>
      </c>
      <c r="C1194" t="s">
        <v>275</v>
      </c>
      <c r="D1194" s="2">
        <v>21711162.199999999</v>
      </c>
      <c r="E1194" s="2">
        <v>164387754.28999999</v>
      </c>
      <c r="F1194" s="2">
        <v>136468173.81999999</v>
      </c>
      <c r="G1194" s="2">
        <v>4351922.32</v>
      </c>
    </row>
    <row r="1195" spans="1:7" x14ac:dyDescent="0.25">
      <c r="A1195" s="1">
        <v>45047</v>
      </c>
      <c r="B1195" t="s">
        <v>37</v>
      </c>
      <c r="C1195" t="s">
        <v>276</v>
      </c>
      <c r="D1195" s="2">
        <v>141492967.24000001</v>
      </c>
      <c r="E1195" s="2">
        <v>126113134.79000001</v>
      </c>
      <c r="F1195" s="2">
        <v>119648649.86</v>
      </c>
      <c r="G1195" s="2">
        <v>6704207.6699999999</v>
      </c>
    </row>
    <row r="1196" spans="1:7" x14ac:dyDescent="0.25">
      <c r="A1196" s="1">
        <v>45047</v>
      </c>
      <c r="B1196" t="s">
        <v>37</v>
      </c>
      <c r="C1196" t="s">
        <v>277</v>
      </c>
      <c r="D1196" s="2">
        <v>5547991.3099999996</v>
      </c>
      <c r="E1196" s="2">
        <v>31115619.84</v>
      </c>
      <c r="F1196" s="2">
        <v>25650884.559999999</v>
      </c>
      <c r="G1196" s="2">
        <v>644338.51</v>
      </c>
    </row>
    <row r="1197" spans="1:7" x14ac:dyDescent="0.25">
      <c r="A1197" s="1">
        <v>45047</v>
      </c>
      <c r="B1197" t="s">
        <v>37</v>
      </c>
      <c r="C1197" t="s">
        <v>278</v>
      </c>
      <c r="D1197" s="2">
        <v>62789879.009999998</v>
      </c>
      <c r="E1197" s="2">
        <v>352853199.63</v>
      </c>
      <c r="F1197" s="2">
        <v>294289431.36000001</v>
      </c>
      <c r="G1197" s="2">
        <v>5948856.54</v>
      </c>
    </row>
    <row r="1198" spans="1:7" x14ac:dyDescent="0.25">
      <c r="A1198" s="1">
        <v>45047</v>
      </c>
      <c r="B1198" t="s">
        <v>37</v>
      </c>
      <c r="C1198" t="s">
        <v>279</v>
      </c>
      <c r="D1198" s="2">
        <v>10563175.109999999</v>
      </c>
      <c r="E1198" s="2">
        <v>54234307.329999998</v>
      </c>
      <c r="F1198" s="2">
        <v>45229950.5</v>
      </c>
      <c r="G1198" s="2">
        <v>179550.97</v>
      </c>
    </row>
    <row r="1199" spans="1:7" x14ac:dyDescent="0.25">
      <c r="A1199" s="1">
        <v>45047</v>
      </c>
      <c r="B1199" t="s">
        <v>37</v>
      </c>
      <c r="C1199" t="s">
        <v>280</v>
      </c>
      <c r="D1199" s="2">
        <v>34134481.659999996</v>
      </c>
      <c r="E1199" s="2">
        <v>161038086.81</v>
      </c>
      <c r="F1199" s="2">
        <v>135643169.91</v>
      </c>
      <c r="G1199" s="2">
        <v>2444391.4900000002</v>
      </c>
    </row>
    <row r="1200" spans="1:7" x14ac:dyDescent="0.25">
      <c r="A1200" s="1">
        <v>45047</v>
      </c>
      <c r="B1200" t="s">
        <v>37</v>
      </c>
      <c r="C1200" t="s">
        <v>281</v>
      </c>
      <c r="D1200" s="2">
        <v>62224409.020000003</v>
      </c>
      <c r="E1200" s="2">
        <v>171741193.16</v>
      </c>
      <c r="F1200" s="2">
        <v>148088904.69</v>
      </c>
      <c r="G1200" s="2">
        <v>2384205.15</v>
      </c>
    </row>
    <row r="1201" spans="1:7" x14ac:dyDescent="0.25">
      <c r="A1201" s="1">
        <v>45047</v>
      </c>
      <c r="B1201" t="s">
        <v>37</v>
      </c>
      <c r="C1201" t="s">
        <v>282</v>
      </c>
      <c r="D1201" s="2">
        <v>2967977.32</v>
      </c>
      <c r="E1201" s="2">
        <v>10531885.82</v>
      </c>
      <c r="F1201" s="2">
        <v>9460290.6099999994</v>
      </c>
      <c r="G1201" s="2">
        <v>1101293.6299999999</v>
      </c>
    </row>
    <row r="1202" spans="1:7" x14ac:dyDescent="0.25">
      <c r="A1202" s="1">
        <v>45047</v>
      </c>
      <c r="B1202" t="s">
        <v>37</v>
      </c>
      <c r="C1202" t="s">
        <v>283</v>
      </c>
      <c r="D1202" s="2">
        <v>3591099.88</v>
      </c>
      <c r="E1202" s="2">
        <v>13124199.26</v>
      </c>
      <c r="F1202" s="2">
        <v>12110413.199999999</v>
      </c>
      <c r="G1202" s="2">
        <v>2580018.4500000002</v>
      </c>
    </row>
    <row r="1203" spans="1:7" x14ac:dyDescent="0.25">
      <c r="A1203" s="1">
        <v>45047</v>
      </c>
      <c r="B1203" t="s">
        <v>37</v>
      </c>
      <c r="C1203" t="s">
        <v>284</v>
      </c>
      <c r="D1203" s="2">
        <v>17262482.920000002</v>
      </c>
      <c r="E1203" s="2">
        <v>45951434.700000003</v>
      </c>
      <c r="F1203" s="2">
        <v>39440396.43</v>
      </c>
      <c r="G1203" s="2">
        <v>671759.05</v>
      </c>
    </row>
    <row r="1204" spans="1:7" x14ac:dyDescent="0.25">
      <c r="A1204" s="1">
        <v>45047</v>
      </c>
      <c r="B1204" t="s">
        <v>37</v>
      </c>
      <c r="C1204" t="s">
        <v>285</v>
      </c>
      <c r="D1204" s="2">
        <v>2449797.7000000002</v>
      </c>
      <c r="E1204" s="2">
        <v>27416388.829999998</v>
      </c>
      <c r="F1204" s="2">
        <v>24145614.920000002</v>
      </c>
      <c r="G1204" s="2">
        <v>1429673.24</v>
      </c>
    </row>
    <row r="1205" spans="1:7" x14ac:dyDescent="0.25">
      <c r="A1205" s="1">
        <v>45047</v>
      </c>
      <c r="B1205" t="s">
        <v>37</v>
      </c>
      <c r="C1205" t="s">
        <v>286</v>
      </c>
      <c r="D1205" s="2">
        <v>184780653.86000001</v>
      </c>
      <c r="E1205" s="2">
        <v>197901260.16999999</v>
      </c>
      <c r="F1205" s="2">
        <v>161633019.83000001</v>
      </c>
      <c r="G1205" s="2">
        <v>11048186.449999999</v>
      </c>
    </row>
    <row r="1206" spans="1:7" x14ac:dyDescent="0.25">
      <c r="A1206" s="1">
        <v>45047</v>
      </c>
      <c r="B1206" t="s">
        <v>37</v>
      </c>
      <c r="C1206" t="s">
        <v>287</v>
      </c>
      <c r="D1206" s="2">
        <v>4257730.75</v>
      </c>
      <c r="E1206" s="2">
        <v>23064589.02</v>
      </c>
      <c r="F1206" s="2">
        <v>19624540.66</v>
      </c>
      <c r="G1206" s="2">
        <v>1703797.64</v>
      </c>
    </row>
    <row r="1207" spans="1:7" x14ac:dyDescent="0.25">
      <c r="A1207" s="1">
        <v>45047</v>
      </c>
      <c r="B1207" t="s">
        <v>37</v>
      </c>
      <c r="C1207" t="s">
        <v>288</v>
      </c>
      <c r="D1207" s="2">
        <v>53234931.07</v>
      </c>
      <c r="E1207" s="2">
        <v>55542362.469999999</v>
      </c>
      <c r="F1207" s="2">
        <v>48480765.979999997</v>
      </c>
      <c r="G1207" s="2">
        <v>1254624.46</v>
      </c>
    </row>
    <row r="1208" spans="1:7" x14ac:dyDescent="0.25">
      <c r="A1208" s="1">
        <v>45047</v>
      </c>
      <c r="B1208" t="s">
        <v>37</v>
      </c>
      <c r="C1208" t="s">
        <v>289</v>
      </c>
      <c r="D1208" s="2">
        <v>7090557.9000000004</v>
      </c>
      <c r="E1208" s="2">
        <v>61278294.990000002</v>
      </c>
      <c r="F1208" s="2">
        <v>50877687.899999999</v>
      </c>
      <c r="G1208" s="2">
        <v>1159476.6399999999</v>
      </c>
    </row>
    <row r="1209" spans="1:7" x14ac:dyDescent="0.25">
      <c r="A1209" s="1">
        <v>45047</v>
      </c>
      <c r="B1209" t="s">
        <v>37</v>
      </c>
      <c r="C1209" t="s">
        <v>290</v>
      </c>
      <c r="D1209" s="2">
        <v>4196126.7</v>
      </c>
      <c r="E1209" s="2">
        <v>29822353.75</v>
      </c>
      <c r="F1209" s="2">
        <v>24212467.059999999</v>
      </c>
      <c r="G1209" s="2">
        <v>1471492.31</v>
      </c>
    </row>
    <row r="1210" spans="1:7" x14ac:dyDescent="0.25">
      <c r="A1210" s="1">
        <v>45047</v>
      </c>
      <c r="B1210" t="s">
        <v>37</v>
      </c>
      <c r="C1210" t="s">
        <v>291</v>
      </c>
      <c r="D1210" s="2">
        <v>14716894.060000001</v>
      </c>
      <c r="E1210" s="2">
        <v>87106306.109999999</v>
      </c>
      <c r="F1210" s="2">
        <v>71505884.879999995</v>
      </c>
      <c r="G1210" s="2">
        <v>6090002.9800000004</v>
      </c>
    </row>
    <row r="1211" spans="1:7" x14ac:dyDescent="0.25">
      <c r="A1211" s="1">
        <v>45047</v>
      </c>
      <c r="B1211" t="s">
        <v>19</v>
      </c>
      <c r="C1211" t="s">
        <v>292</v>
      </c>
      <c r="D1211" s="2">
        <v>127159438.37</v>
      </c>
      <c r="E1211" s="2">
        <v>13379818.560000001</v>
      </c>
      <c r="F1211" s="2">
        <v>14591518.99</v>
      </c>
      <c r="G1211" s="2">
        <v>14236651.220000001</v>
      </c>
    </row>
    <row r="1212" spans="1:7" x14ac:dyDescent="0.25">
      <c r="A1212" s="1">
        <v>45078</v>
      </c>
      <c r="B1212" t="s">
        <v>7</v>
      </c>
      <c r="C1212" t="s">
        <v>8</v>
      </c>
      <c r="D1212" s="2">
        <v>8678594.1400000006</v>
      </c>
      <c r="E1212" s="2">
        <v>409787217.74000001</v>
      </c>
      <c r="F1212" s="2">
        <v>369892569.75</v>
      </c>
      <c r="G1212" s="2">
        <v>594381.18000000005</v>
      </c>
    </row>
    <row r="1213" spans="1:7" x14ac:dyDescent="0.25">
      <c r="A1213" s="1">
        <v>45078</v>
      </c>
      <c r="B1213" t="s">
        <v>9</v>
      </c>
      <c r="C1213" t="s">
        <v>10</v>
      </c>
      <c r="D1213" s="2">
        <v>1543315.39</v>
      </c>
      <c r="E1213" s="2">
        <v>3073139.46</v>
      </c>
      <c r="F1213" s="2">
        <v>2710425.69</v>
      </c>
      <c r="G1213" s="2">
        <v>747610.95</v>
      </c>
    </row>
    <row r="1214" spans="1:7" x14ac:dyDescent="0.25">
      <c r="A1214" s="1">
        <v>45078</v>
      </c>
      <c r="B1214" t="s">
        <v>11</v>
      </c>
      <c r="C1214" t="s">
        <v>12</v>
      </c>
      <c r="D1214" s="2">
        <v>7808330.9000000004</v>
      </c>
      <c r="E1214" s="2">
        <v>47636709.359999999</v>
      </c>
      <c r="F1214" s="2">
        <v>36773844.210000001</v>
      </c>
      <c r="G1214" s="2">
        <v>3710377.11</v>
      </c>
    </row>
    <row r="1215" spans="1:7" x14ac:dyDescent="0.25">
      <c r="A1215" s="1">
        <v>45078</v>
      </c>
      <c r="B1215" t="s">
        <v>13</v>
      </c>
      <c r="C1215" t="s">
        <v>14</v>
      </c>
      <c r="D1215" s="2">
        <v>11585280.92</v>
      </c>
      <c r="E1215" s="2">
        <v>253950780.88999999</v>
      </c>
      <c r="F1215" s="2">
        <v>247963161.5</v>
      </c>
      <c r="G1215" s="2">
        <v>930552.62</v>
      </c>
    </row>
    <row r="1216" spans="1:7" x14ac:dyDescent="0.25">
      <c r="A1216" s="1">
        <v>45078</v>
      </c>
      <c r="B1216" t="s">
        <v>13</v>
      </c>
      <c r="C1216" t="s">
        <v>15</v>
      </c>
      <c r="D1216" s="2">
        <v>4530888.4400000004</v>
      </c>
      <c r="E1216" s="2">
        <v>34642188.890000001</v>
      </c>
      <c r="F1216" s="2">
        <v>28930909.829999998</v>
      </c>
      <c r="G1216" s="2">
        <v>67916.31</v>
      </c>
    </row>
    <row r="1217" spans="1:7" x14ac:dyDescent="0.25">
      <c r="A1217" s="1">
        <v>45078</v>
      </c>
      <c r="B1217" t="s">
        <v>16</v>
      </c>
      <c r="C1217" t="s">
        <v>17</v>
      </c>
      <c r="D1217" s="2">
        <v>8241410.0700000003</v>
      </c>
      <c r="E1217" s="2">
        <v>29717157.5</v>
      </c>
      <c r="F1217" s="2">
        <v>24707872.170000002</v>
      </c>
      <c r="G1217" s="2">
        <v>844164.03</v>
      </c>
    </row>
    <row r="1218" spans="1:7" x14ac:dyDescent="0.25">
      <c r="A1218" s="1">
        <v>45078</v>
      </c>
      <c r="B1218" t="s">
        <v>11</v>
      </c>
      <c r="C1218" t="s">
        <v>18</v>
      </c>
      <c r="D1218" s="2">
        <v>3113446.83</v>
      </c>
      <c r="E1218" s="2">
        <v>13938678.15</v>
      </c>
      <c r="F1218" s="2">
        <v>12139672.23</v>
      </c>
      <c r="G1218" s="2">
        <v>572999.14</v>
      </c>
    </row>
    <row r="1219" spans="1:7" x14ac:dyDescent="0.25">
      <c r="A1219" s="1">
        <v>45078</v>
      </c>
      <c r="B1219" t="s">
        <v>19</v>
      </c>
      <c r="C1219" t="s">
        <v>20</v>
      </c>
      <c r="D1219" s="2">
        <v>21562644</v>
      </c>
      <c r="E1219" s="2">
        <v>49262748.009999998</v>
      </c>
      <c r="F1219" s="2">
        <v>44799178.189999998</v>
      </c>
      <c r="G1219" s="2">
        <v>15468881.810000001</v>
      </c>
    </row>
    <row r="1220" spans="1:7" x14ac:dyDescent="0.25">
      <c r="A1220" s="1">
        <v>45078</v>
      </c>
      <c r="B1220" t="s">
        <v>16</v>
      </c>
      <c r="C1220" t="s">
        <v>21</v>
      </c>
      <c r="D1220" s="2">
        <v>60538913.450000003</v>
      </c>
      <c r="E1220" s="2">
        <v>81695926.180000007</v>
      </c>
      <c r="F1220" s="2">
        <v>65558210.479999997</v>
      </c>
      <c r="G1220" s="2">
        <v>712010.76</v>
      </c>
    </row>
    <row r="1221" spans="1:7" x14ac:dyDescent="0.25">
      <c r="A1221" s="1">
        <v>45078</v>
      </c>
      <c r="B1221" t="s">
        <v>22</v>
      </c>
      <c r="C1221" t="s">
        <v>23</v>
      </c>
      <c r="D1221" s="2">
        <v>6118576.7199999997</v>
      </c>
      <c r="E1221" s="2">
        <v>33849612.579999998</v>
      </c>
      <c r="F1221" s="2">
        <v>30501969.370000001</v>
      </c>
      <c r="G1221" s="2">
        <v>804463.25</v>
      </c>
    </row>
    <row r="1222" spans="1:7" x14ac:dyDescent="0.25">
      <c r="A1222" s="1">
        <v>45078</v>
      </c>
      <c r="B1222" t="s">
        <v>24</v>
      </c>
      <c r="C1222" t="s">
        <v>25</v>
      </c>
      <c r="D1222" s="2">
        <v>205247619.38999999</v>
      </c>
      <c r="E1222" s="2">
        <v>199984985.00999999</v>
      </c>
      <c r="F1222" s="2">
        <v>9816807.3900000006</v>
      </c>
      <c r="G1222" s="2">
        <v>163560.57999999999</v>
      </c>
    </row>
    <row r="1223" spans="1:7" x14ac:dyDescent="0.25">
      <c r="A1223" s="1">
        <v>45078</v>
      </c>
      <c r="B1223" t="s">
        <v>13</v>
      </c>
      <c r="C1223" t="s">
        <v>26</v>
      </c>
      <c r="D1223" s="2">
        <v>2963253315.2800002</v>
      </c>
      <c r="E1223" s="2">
        <v>3027529953.9400001</v>
      </c>
      <c r="F1223" s="2">
        <v>3018400331.27</v>
      </c>
      <c r="G1223" s="2">
        <v>308577.62</v>
      </c>
    </row>
    <row r="1224" spans="1:7" x14ac:dyDescent="0.25">
      <c r="A1224" s="1">
        <v>45078</v>
      </c>
      <c r="B1224" t="s">
        <v>27</v>
      </c>
      <c r="C1224" t="s">
        <v>28</v>
      </c>
      <c r="D1224" s="2">
        <v>13996446.539999999</v>
      </c>
      <c r="E1224" s="2">
        <v>51972056.93</v>
      </c>
      <c r="F1224" s="2">
        <v>39377420.960000001</v>
      </c>
      <c r="G1224" s="2">
        <v>3397495.35</v>
      </c>
    </row>
    <row r="1225" spans="1:7" x14ac:dyDescent="0.25">
      <c r="A1225" s="1">
        <v>45078</v>
      </c>
      <c r="B1225" t="s">
        <v>29</v>
      </c>
      <c r="C1225" t="s">
        <v>30</v>
      </c>
      <c r="D1225" s="2">
        <v>75015999.680000007</v>
      </c>
      <c r="E1225" s="2">
        <v>39644578.710000001</v>
      </c>
      <c r="F1225" s="2">
        <v>36043047.100000001</v>
      </c>
      <c r="G1225" s="2">
        <v>8303383.6500000004</v>
      </c>
    </row>
    <row r="1226" spans="1:7" x14ac:dyDescent="0.25">
      <c r="A1226" s="1">
        <v>45078</v>
      </c>
      <c r="B1226" t="s">
        <v>31</v>
      </c>
      <c r="C1226" t="s">
        <v>32</v>
      </c>
      <c r="D1226" s="2">
        <v>273163.83</v>
      </c>
      <c r="E1226" s="2">
        <v>261109.44</v>
      </c>
      <c r="F1226" s="2">
        <v>257589.99</v>
      </c>
      <c r="G1226">
        <v>0</v>
      </c>
    </row>
    <row r="1227" spans="1:7" x14ac:dyDescent="0.25">
      <c r="A1227" s="1">
        <v>45078</v>
      </c>
      <c r="B1227" t="s">
        <v>33</v>
      </c>
      <c r="C1227" t="s">
        <v>34</v>
      </c>
      <c r="D1227" s="2">
        <v>299399791.56</v>
      </c>
      <c r="E1227" s="2">
        <v>320278911.13999999</v>
      </c>
      <c r="F1227" s="2">
        <v>319796833.79000002</v>
      </c>
      <c r="G1227" s="2">
        <v>1117397.1499999999</v>
      </c>
    </row>
    <row r="1228" spans="1:7" x14ac:dyDescent="0.25">
      <c r="A1228" s="1">
        <v>45078</v>
      </c>
      <c r="B1228" t="s">
        <v>29</v>
      </c>
      <c r="C1228" t="s">
        <v>35</v>
      </c>
      <c r="D1228" s="2">
        <v>115181.54</v>
      </c>
      <c r="E1228" s="2">
        <v>11049937.949999999</v>
      </c>
      <c r="F1228" s="2">
        <v>9420712.2400000002</v>
      </c>
      <c r="G1228" s="2">
        <v>8386634.9800000004</v>
      </c>
    </row>
    <row r="1229" spans="1:7" x14ac:dyDescent="0.25">
      <c r="A1229" s="1">
        <v>45078</v>
      </c>
      <c r="B1229" t="s">
        <v>29</v>
      </c>
      <c r="C1229" t="s">
        <v>36</v>
      </c>
      <c r="D1229" s="2">
        <v>435506.96</v>
      </c>
      <c r="E1229" s="2">
        <v>418175.04</v>
      </c>
      <c r="F1229" s="2">
        <v>363072.41</v>
      </c>
      <c r="G1229" s="2">
        <v>36379.589999999997</v>
      </c>
    </row>
    <row r="1230" spans="1:7" x14ac:dyDescent="0.25">
      <c r="A1230" s="1">
        <v>45078</v>
      </c>
      <c r="B1230" t="s">
        <v>37</v>
      </c>
      <c r="C1230" t="s">
        <v>38</v>
      </c>
      <c r="D1230" s="2">
        <v>6646622.9699999997</v>
      </c>
      <c r="E1230" s="2">
        <v>45754758.270000003</v>
      </c>
      <c r="F1230" s="2">
        <v>35346738.909999996</v>
      </c>
      <c r="G1230" s="2">
        <v>360050.46</v>
      </c>
    </row>
    <row r="1231" spans="1:7" x14ac:dyDescent="0.25">
      <c r="A1231" s="1">
        <v>45078</v>
      </c>
      <c r="B1231" t="s">
        <v>37</v>
      </c>
      <c r="C1231" t="s">
        <v>39</v>
      </c>
      <c r="D1231" s="2">
        <v>10831699.5</v>
      </c>
      <c r="E1231" s="2">
        <v>54777468.359999999</v>
      </c>
      <c r="F1231" s="2">
        <v>45130518.299999997</v>
      </c>
      <c r="G1231" s="2">
        <v>622378.22</v>
      </c>
    </row>
    <row r="1232" spans="1:7" x14ac:dyDescent="0.25">
      <c r="A1232" s="1">
        <v>45078</v>
      </c>
      <c r="B1232" t="s">
        <v>9</v>
      </c>
      <c r="C1232" t="s">
        <v>40</v>
      </c>
      <c r="D1232" s="2">
        <v>1148331.8500000001</v>
      </c>
      <c r="E1232" s="2">
        <v>3762795.22</v>
      </c>
      <c r="F1232" s="2">
        <v>3393223.18</v>
      </c>
      <c r="G1232" s="2">
        <v>1117.72</v>
      </c>
    </row>
    <row r="1233" spans="1:7" x14ac:dyDescent="0.25">
      <c r="A1233" s="1">
        <v>45078</v>
      </c>
      <c r="B1233" t="s">
        <v>37</v>
      </c>
      <c r="C1233" t="s">
        <v>41</v>
      </c>
      <c r="D1233" s="2">
        <v>94726043.810000002</v>
      </c>
      <c r="E1233" s="2">
        <v>77644843.810000002</v>
      </c>
      <c r="F1233" s="2">
        <v>58877069.729999997</v>
      </c>
      <c r="G1233" s="2">
        <v>1911321.8</v>
      </c>
    </row>
    <row r="1234" spans="1:7" x14ac:dyDescent="0.25">
      <c r="A1234" s="1">
        <v>45078</v>
      </c>
      <c r="B1234" t="s">
        <v>29</v>
      </c>
      <c r="C1234" t="s">
        <v>42</v>
      </c>
      <c r="D1234" s="2">
        <v>2536012570.96</v>
      </c>
      <c r="E1234" s="2">
        <v>3194173500.5700002</v>
      </c>
      <c r="F1234" s="2">
        <v>2502838026.04</v>
      </c>
      <c r="G1234" s="2">
        <v>332263609.04000002</v>
      </c>
    </row>
    <row r="1235" spans="1:7" x14ac:dyDescent="0.25">
      <c r="A1235" s="1">
        <v>45078</v>
      </c>
      <c r="B1235" t="s">
        <v>29</v>
      </c>
      <c r="C1235" t="s">
        <v>43</v>
      </c>
      <c r="D1235" s="2">
        <v>1211363148.9400001</v>
      </c>
      <c r="E1235" s="2">
        <v>3471278773.6799998</v>
      </c>
      <c r="F1235" s="2">
        <v>2646323535.5999999</v>
      </c>
      <c r="G1235" s="2">
        <v>105832737.54000001</v>
      </c>
    </row>
    <row r="1236" spans="1:7" x14ac:dyDescent="0.25">
      <c r="A1236" s="1">
        <v>45078</v>
      </c>
      <c r="B1236" t="s">
        <v>29</v>
      </c>
      <c r="C1236" t="s">
        <v>44</v>
      </c>
      <c r="D1236" s="2">
        <v>616162563</v>
      </c>
      <c r="E1236" s="2">
        <v>5510297429.8599997</v>
      </c>
      <c r="F1236" s="2">
        <v>3902701206.6700001</v>
      </c>
      <c r="G1236" s="2">
        <v>227274414.13</v>
      </c>
    </row>
    <row r="1237" spans="1:7" x14ac:dyDescent="0.25">
      <c r="A1237" s="1">
        <v>45078</v>
      </c>
      <c r="B1237" t="s">
        <v>45</v>
      </c>
      <c r="C1237" t="s">
        <v>46</v>
      </c>
      <c r="D1237" s="2">
        <v>1087288.44</v>
      </c>
      <c r="E1237" s="2">
        <v>18919346.359999999</v>
      </c>
      <c r="F1237" s="2">
        <v>16681286.390000001</v>
      </c>
      <c r="G1237" s="2">
        <v>134640.94</v>
      </c>
    </row>
    <row r="1238" spans="1:7" x14ac:dyDescent="0.25">
      <c r="A1238" s="1">
        <v>45078</v>
      </c>
      <c r="B1238" t="s">
        <v>9</v>
      </c>
      <c r="C1238" t="s">
        <v>47</v>
      </c>
      <c r="D1238" s="2">
        <v>182472141.28</v>
      </c>
      <c r="E1238" s="2">
        <v>101101391.48</v>
      </c>
      <c r="F1238" s="2">
        <v>84344178.719999999</v>
      </c>
      <c r="G1238" s="2">
        <v>7871831.46</v>
      </c>
    </row>
    <row r="1239" spans="1:7" x14ac:dyDescent="0.25">
      <c r="A1239" s="1">
        <v>45078</v>
      </c>
      <c r="B1239" t="s">
        <v>48</v>
      </c>
      <c r="C1239" t="s">
        <v>49</v>
      </c>
      <c r="D1239" s="2">
        <v>84299992.530000001</v>
      </c>
      <c r="E1239" s="2">
        <v>93952503.430000007</v>
      </c>
      <c r="F1239" s="2">
        <v>87129316.879999995</v>
      </c>
      <c r="G1239" s="2">
        <v>5416143.3099999996</v>
      </c>
    </row>
    <row r="1240" spans="1:7" x14ac:dyDescent="0.25">
      <c r="A1240" s="1">
        <v>45078</v>
      </c>
      <c r="B1240" t="s">
        <v>50</v>
      </c>
      <c r="C1240" t="s">
        <v>51</v>
      </c>
      <c r="D1240" s="2">
        <v>188835596.5</v>
      </c>
      <c r="E1240" s="2">
        <v>87582170</v>
      </c>
      <c r="F1240" s="2">
        <v>86996122.920000002</v>
      </c>
      <c r="G1240" s="2">
        <v>329602302.82999998</v>
      </c>
    </row>
    <row r="1241" spans="1:7" x14ac:dyDescent="0.25">
      <c r="A1241" s="1">
        <v>45078</v>
      </c>
      <c r="B1241" t="s">
        <v>13</v>
      </c>
      <c r="C1241" t="s">
        <v>52</v>
      </c>
      <c r="D1241" s="2">
        <v>56698091.340000004</v>
      </c>
      <c r="E1241" s="2">
        <v>46713594.640000001</v>
      </c>
      <c r="F1241" s="2">
        <v>48031954.640000001</v>
      </c>
      <c r="G1241" s="2">
        <v>1680920.35</v>
      </c>
    </row>
    <row r="1242" spans="1:7" x14ac:dyDescent="0.25">
      <c r="A1242" s="1">
        <v>45078</v>
      </c>
      <c r="B1242" t="s">
        <v>53</v>
      </c>
      <c r="C1242" t="s">
        <v>54</v>
      </c>
      <c r="D1242" s="2">
        <v>131620959.66</v>
      </c>
      <c r="E1242" s="2">
        <v>181706877.18000001</v>
      </c>
      <c r="F1242" s="2">
        <v>102884350.68000001</v>
      </c>
      <c r="G1242" s="2">
        <v>2682405.4500000002</v>
      </c>
    </row>
    <row r="1243" spans="1:7" x14ac:dyDescent="0.25">
      <c r="A1243" s="1">
        <v>45078</v>
      </c>
      <c r="B1243" t="s">
        <v>31</v>
      </c>
      <c r="C1243" t="s">
        <v>55</v>
      </c>
      <c r="D1243" s="2">
        <v>-870514.13</v>
      </c>
      <c r="E1243" s="2">
        <v>4946143.74</v>
      </c>
      <c r="F1243" s="2">
        <v>5095792.01</v>
      </c>
      <c r="G1243" s="2">
        <v>693089.37</v>
      </c>
    </row>
    <row r="1244" spans="1:7" x14ac:dyDescent="0.25">
      <c r="A1244" s="1">
        <v>45078</v>
      </c>
      <c r="B1244" t="s">
        <v>9</v>
      </c>
      <c r="C1244" t="s">
        <v>56</v>
      </c>
      <c r="D1244" s="2">
        <v>162467446.09999999</v>
      </c>
      <c r="E1244" s="2">
        <v>130384447.29000001</v>
      </c>
      <c r="F1244" s="2">
        <v>116705297.38</v>
      </c>
      <c r="G1244" s="2">
        <v>92195752.959999993</v>
      </c>
    </row>
    <row r="1245" spans="1:7" x14ac:dyDescent="0.25">
      <c r="A1245" s="1">
        <v>45078</v>
      </c>
      <c r="B1245" t="s">
        <v>57</v>
      </c>
      <c r="C1245" t="s">
        <v>58</v>
      </c>
      <c r="D1245" s="2">
        <v>69715937.840000004</v>
      </c>
      <c r="E1245" s="2">
        <v>124617840.15000001</v>
      </c>
      <c r="F1245" s="2">
        <v>101774234.72</v>
      </c>
      <c r="G1245" s="2">
        <v>629250.05000000005</v>
      </c>
    </row>
    <row r="1246" spans="1:7" x14ac:dyDescent="0.25">
      <c r="A1246" s="1">
        <v>45078</v>
      </c>
      <c r="B1246" t="s">
        <v>19</v>
      </c>
      <c r="C1246" t="s">
        <v>59</v>
      </c>
      <c r="D1246" s="2">
        <v>1730627730.4400001</v>
      </c>
      <c r="E1246" s="2">
        <v>939006010.32000005</v>
      </c>
      <c r="F1246" s="2">
        <v>933640140.42999995</v>
      </c>
      <c r="G1246" s="2">
        <v>429910268.45999998</v>
      </c>
    </row>
    <row r="1247" spans="1:7" x14ac:dyDescent="0.25">
      <c r="A1247" s="1">
        <v>45078</v>
      </c>
      <c r="B1247" t="s">
        <v>50</v>
      </c>
      <c r="C1247" t="s">
        <v>60</v>
      </c>
      <c r="D1247" s="2">
        <v>131362408.23999999</v>
      </c>
      <c r="E1247" s="2">
        <v>84966504.25</v>
      </c>
      <c r="F1247" s="2">
        <v>56199650.5</v>
      </c>
      <c r="G1247" s="2">
        <v>39723179.670000002</v>
      </c>
    </row>
    <row r="1248" spans="1:7" x14ac:dyDescent="0.25">
      <c r="A1248" s="1">
        <v>45078</v>
      </c>
      <c r="B1248" t="s">
        <v>61</v>
      </c>
      <c r="C1248" t="s">
        <v>62</v>
      </c>
      <c r="D1248" s="2">
        <v>8085357.9800000004</v>
      </c>
      <c r="E1248" s="2">
        <v>82548692.629999995</v>
      </c>
      <c r="F1248" s="2">
        <v>42809262.399999999</v>
      </c>
      <c r="G1248" s="2">
        <v>3563139.72</v>
      </c>
    </row>
    <row r="1249" spans="1:7" x14ac:dyDescent="0.25">
      <c r="A1249" s="1">
        <v>45078</v>
      </c>
      <c r="B1249" t="s">
        <v>63</v>
      </c>
      <c r="C1249" t="s">
        <v>64</v>
      </c>
      <c r="D1249" s="2">
        <v>9497967.4700000007</v>
      </c>
      <c r="E1249" s="2">
        <v>353905256.39999998</v>
      </c>
      <c r="F1249" s="2">
        <v>299328870.04000002</v>
      </c>
      <c r="G1249" s="2">
        <v>21119391.949999999</v>
      </c>
    </row>
    <row r="1250" spans="1:7" x14ac:dyDescent="0.25">
      <c r="A1250" s="1">
        <v>45078</v>
      </c>
      <c r="B1250" t="s">
        <v>37</v>
      </c>
      <c r="C1250" t="s">
        <v>65</v>
      </c>
      <c r="D1250" s="2">
        <v>245555511.61000001</v>
      </c>
      <c r="E1250" s="2">
        <v>911698625.03999996</v>
      </c>
      <c r="F1250" s="2">
        <v>728007687.55999994</v>
      </c>
      <c r="G1250" s="2">
        <v>31097638.199999999</v>
      </c>
    </row>
    <row r="1251" spans="1:7" x14ac:dyDescent="0.25">
      <c r="A1251" s="1">
        <v>45078</v>
      </c>
      <c r="B1251" t="s">
        <v>13</v>
      </c>
      <c r="C1251" t="s">
        <v>66</v>
      </c>
      <c r="D1251" s="2">
        <v>1161716.92</v>
      </c>
      <c r="E1251" s="2">
        <v>11523411.91</v>
      </c>
      <c r="F1251" s="2">
        <v>9193012.1400000006</v>
      </c>
      <c r="G1251">
        <v>0</v>
      </c>
    </row>
    <row r="1252" spans="1:7" x14ac:dyDescent="0.25">
      <c r="A1252" s="1">
        <v>45078</v>
      </c>
      <c r="B1252" t="s">
        <v>48</v>
      </c>
      <c r="C1252" t="s">
        <v>67</v>
      </c>
      <c r="D1252" s="2">
        <v>29058192.079999998</v>
      </c>
      <c r="E1252" s="2">
        <v>28035246.41</v>
      </c>
      <c r="F1252" s="2">
        <v>20216177.18</v>
      </c>
      <c r="G1252" s="2">
        <v>528030.65</v>
      </c>
    </row>
    <row r="1253" spans="1:7" x14ac:dyDescent="0.25">
      <c r="A1253" s="1">
        <v>45078</v>
      </c>
      <c r="B1253" t="s">
        <v>69</v>
      </c>
      <c r="C1253" t="s">
        <v>70</v>
      </c>
      <c r="D1253" s="2">
        <v>241163.9</v>
      </c>
      <c r="E1253" s="2">
        <v>1299248</v>
      </c>
      <c r="F1253" s="2">
        <v>1091864.5</v>
      </c>
      <c r="G1253" s="2">
        <v>19876.77</v>
      </c>
    </row>
    <row r="1254" spans="1:7" x14ac:dyDescent="0.25">
      <c r="A1254" s="1">
        <v>45078</v>
      </c>
      <c r="B1254" t="s">
        <v>24</v>
      </c>
      <c r="C1254" t="s">
        <v>71</v>
      </c>
      <c r="D1254" s="2">
        <v>3073810.39</v>
      </c>
      <c r="E1254" s="2">
        <v>10716300.789999999</v>
      </c>
      <c r="F1254" s="2">
        <v>8702041.6400000006</v>
      </c>
      <c r="G1254" s="2">
        <v>157399.16</v>
      </c>
    </row>
    <row r="1255" spans="1:7" x14ac:dyDescent="0.25">
      <c r="A1255" s="1">
        <v>45078</v>
      </c>
      <c r="B1255" t="s">
        <v>24</v>
      </c>
      <c r="C1255" t="s">
        <v>72</v>
      </c>
      <c r="D1255" s="2">
        <v>1567194.82</v>
      </c>
      <c r="E1255" s="2">
        <v>4871695.51</v>
      </c>
      <c r="F1255" s="2">
        <v>3763181.11</v>
      </c>
      <c r="G1255" s="2">
        <v>1043.4000000000001</v>
      </c>
    </row>
    <row r="1256" spans="1:7" x14ac:dyDescent="0.25">
      <c r="A1256" s="1">
        <v>45078</v>
      </c>
      <c r="B1256" t="s">
        <v>37</v>
      </c>
      <c r="C1256" t="s">
        <v>73</v>
      </c>
      <c r="D1256" s="2">
        <v>103434822.79000001</v>
      </c>
      <c r="E1256" s="2">
        <v>454930685.30000001</v>
      </c>
      <c r="F1256" s="2">
        <v>450628674.07999998</v>
      </c>
      <c r="G1256" s="2">
        <v>5111596.41</v>
      </c>
    </row>
    <row r="1257" spans="1:7" x14ac:dyDescent="0.25">
      <c r="A1257" s="1">
        <v>45078</v>
      </c>
      <c r="B1257" t="s">
        <v>24</v>
      </c>
      <c r="C1257" t="s">
        <v>74</v>
      </c>
      <c r="D1257" s="2">
        <v>818503.19</v>
      </c>
      <c r="E1257" s="2">
        <v>1508073.02</v>
      </c>
      <c r="F1257" s="2">
        <v>1298907.94</v>
      </c>
      <c r="G1257" s="2">
        <v>162832.29</v>
      </c>
    </row>
    <row r="1258" spans="1:7" x14ac:dyDescent="0.25">
      <c r="A1258" s="1">
        <v>45078</v>
      </c>
      <c r="B1258" t="s">
        <v>75</v>
      </c>
      <c r="C1258" t="s">
        <v>76</v>
      </c>
      <c r="D1258" s="2">
        <v>19659134.289999999</v>
      </c>
      <c r="E1258" s="2">
        <v>7308895.25</v>
      </c>
      <c r="F1258" s="2">
        <v>5547521.7999999998</v>
      </c>
      <c r="G1258" s="2">
        <v>363807.18</v>
      </c>
    </row>
    <row r="1259" spans="1:7" x14ac:dyDescent="0.25">
      <c r="A1259" s="1">
        <v>45078</v>
      </c>
      <c r="B1259" t="s">
        <v>77</v>
      </c>
      <c r="C1259" t="s">
        <v>78</v>
      </c>
      <c r="D1259" s="2">
        <v>282807335.06999999</v>
      </c>
      <c r="E1259" s="2">
        <v>298550702.67000002</v>
      </c>
      <c r="F1259" s="2">
        <v>232368576.12</v>
      </c>
      <c r="G1259" s="2">
        <v>10354675.77</v>
      </c>
    </row>
    <row r="1260" spans="1:7" x14ac:dyDescent="0.25">
      <c r="A1260" s="1">
        <v>45078</v>
      </c>
      <c r="B1260" t="s">
        <v>37</v>
      </c>
      <c r="C1260" t="s">
        <v>79</v>
      </c>
      <c r="D1260" s="2">
        <v>4712305.2300000004</v>
      </c>
      <c r="E1260" s="2">
        <v>13722307.300000001</v>
      </c>
      <c r="F1260" s="2">
        <v>10769764.369999999</v>
      </c>
      <c r="G1260" s="2">
        <v>40212.959999999999</v>
      </c>
    </row>
    <row r="1261" spans="1:7" x14ac:dyDescent="0.25">
      <c r="A1261" s="1">
        <v>45078</v>
      </c>
      <c r="B1261" t="s">
        <v>80</v>
      </c>
      <c r="C1261" t="s">
        <v>81</v>
      </c>
      <c r="D1261" s="2">
        <v>3042404.5</v>
      </c>
      <c r="E1261" s="2">
        <v>10529851.890000001</v>
      </c>
      <c r="F1261" s="2">
        <v>6993878.4500000002</v>
      </c>
      <c r="G1261" s="2">
        <v>239202.91</v>
      </c>
    </row>
    <row r="1262" spans="1:7" x14ac:dyDescent="0.25">
      <c r="A1262" s="1">
        <v>45078</v>
      </c>
      <c r="B1262" t="s">
        <v>24</v>
      </c>
      <c r="C1262" t="s">
        <v>82</v>
      </c>
      <c r="D1262" s="2">
        <v>762404.25</v>
      </c>
      <c r="E1262" s="2">
        <v>9658883.9600000009</v>
      </c>
      <c r="F1262" s="2">
        <v>6897299.7599999998</v>
      </c>
      <c r="G1262" s="2">
        <v>5006250</v>
      </c>
    </row>
    <row r="1263" spans="1:7" x14ac:dyDescent="0.25">
      <c r="A1263" s="1">
        <v>45078</v>
      </c>
      <c r="B1263" t="s">
        <v>16</v>
      </c>
      <c r="C1263" t="s">
        <v>83</v>
      </c>
      <c r="D1263" s="2">
        <v>186886632.50999999</v>
      </c>
      <c r="E1263" s="2">
        <v>183157934.97999999</v>
      </c>
      <c r="F1263" s="2">
        <v>119458666.09</v>
      </c>
      <c r="G1263">
        <v>0</v>
      </c>
    </row>
    <row r="1264" spans="1:7" x14ac:dyDescent="0.25">
      <c r="A1264" s="1">
        <v>45078</v>
      </c>
      <c r="B1264" t="s">
        <v>84</v>
      </c>
      <c r="C1264" t="s">
        <v>85</v>
      </c>
      <c r="D1264" s="2">
        <v>29504789.859999999</v>
      </c>
      <c r="E1264" s="2">
        <v>64280787.490000002</v>
      </c>
      <c r="F1264" s="2">
        <v>47061703.520000003</v>
      </c>
      <c r="G1264" s="2">
        <v>2814826.59</v>
      </c>
    </row>
    <row r="1265" spans="1:7" x14ac:dyDescent="0.25">
      <c r="A1265" s="1">
        <v>45078</v>
      </c>
      <c r="B1265" t="s">
        <v>84</v>
      </c>
      <c r="C1265" t="s">
        <v>86</v>
      </c>
      <c r="D1265" s="2">
        <v>74741.14</v>
      </c>
      <c r="E1265" s="2">
        <v>116743.58</v>
      </c>
      <c r="F1265" s="2">
        <v>108605.88</v>
      </c>
      <c r="G1265" s="2">
        <v>2277.4</v>
      </c>
    </row>
    <row r="1266" spans="1:7" x14ac:dyDescent="0.25">
      <c r="A1266" s="1">
        <v>45078</v>
      </c>
      <c r="B1266" t="s">
        <v>16</v>
      </c>
      <c r="C1266" t="s">
        <v>87</v>
      </c>
      <c r="D1266" s="2">
        <v>555196452.02999997</v>
      </c>
      <c r="E1266" s="2">
        <v>561678345.07000005</v>
      </c>
      <c r="F1266" s="2">
        <v>566066997.04999995</v>
      </c>
      <c r="G1266" s="2">
        <v>121104382.20999999</v>
      </c>
    </row>
    <row r="1267" spans="1:7" x14ac:dyDescent="0.25">
      <c r="A1267" s="1">
        <v>45078</v>
      </c>
      <c r="B1267" t="s">
        <v>29</v>
      </c>
      <c r="C1267" t="s">
        <v>88</v>
      </c>
      <c r="D1267" s="2">
        <v>2755588.6</v>
      </c>
      <c r="E1267" s="2">
        <v>2705565.68</v>
      </c>
      <c r="F1267" s="2">
        <v>2253979.19</v>
      </c>
      <c r="G1267">
        <v>0</v>
      </c>
    </row>
    <row r="1268" spans="1:7" x14ac:dyDescent="0.25">
      <c r="A1268" s="1">
        <v>45078</v>
      </c>
      <c r="B1268" t="s">
        <v>37</v>
      </c>
      <c r="C1268" t="s">
        <v>89</v>
      </c>
      <c r="D1268" s="2">
        <v>24982803.329999998</v>
      </c>
      <c r="E1268" s="2">
        <v>215070945.59</v>
      </c>
      <c r="F1268" s="2">
        <v>164430985.06</v>
      </c>
      <c r="G1268" s="2">
        <v>15823691.619999999</v>
      </c>
    </row>
    <row r="1269" spans="1:7" x14ac:dyDescent="0.25">
      <c r="A1269" s="1">
        <v>45078</v>
      </c>
      <c r="B1269" t="s">
        <v>37</v>
      </c>
      <c r="C1269" t="s">
        <v>90</v>
      </c>
      <c r="D1269" s="2">
        <v>25876070.550000001</v>
      </c>
      <c r="E1269" s="2">
        <v>94780866.549999997</v>
      </c>
      <c r="F1269" s="2">
        <v>75751760.359999999</v>
      </c>
      <c r="G1269" s="2">
        <v>1600281.02</v>
      </c>
    </row>
    <row r="1270" spans="1:7" x14ac:dyDescent="0.25">
      <c r="A1270" s="1">
        <v>45078</v>
      </c>
      <c r="B1270" t="s">
        <v>37</v>
      </c>
      <c r="C1270" t="s">
        <v>91</v>
      </c>
      <c r="D1270" s="2">
        <v>28870672.030000001</v>
      </c>
      <c r="E1270" s="2">
        <v>110107028.81</v>
      </c>
      <c r="F1270" s="2">
        <v>85164228.890000001</v>
      </c>
      <c r="G1270" s="2">
        <v>1854117.7</v>
      </c>
    </row>
    <row r="1271" spans="1:7" x14ac:dyDescent="0.25">
      <c r="A1271" s="1">
        <v>45078</v>
      </c>
      <c r="B1271" t="s">
        <v>37</v>
      </c>
      <c r="C1271" t="s">
        <v>92</v>
      </c>
      <c r="D1271" s="2">
        <v>23731768.190000001</v>
      </c>
      <c r="E1271" s="2">
        <v>32342591.670000002</v>
      </c>
      <c r="F1271" s="2">
        <v>23169995.16</v>
      </c>
      <c r="G1271" s="2">
        <v>5010625.29</v>
      </c>
    </row>
    <row r="1272" spans="1:7" x14ac:dyDescent="0.25">
      <c r="A1272" s="1">
        <v>45078</v>
      </c>
      <c r="B1272" t="s">
        <v>37</v>
      </c>
      <c r="C1272" t="s">
        <v>93</v>
      </c>
      <c r="D1272" s="2">
        <v>15304492.890000001</v>
      </c>
      <c r="E1272" s="2">
        <v>19732832.579999998</v>
      </c>
      <c r="F1272" s="2">
        <v>14596585.49</v>
      </c>
      <c r="G1272" s="2">
        <v>735771.9</v>
      </c>
    </row>
    <row r="1273" spans="1:7" x14ac:dyDescent="0.25">
      <c r="A1273" s="1">
        <v>45078</v>
      </c>
      <c r="B1273" t="s">
        <v>37</v>
      </c>
      <c r="C1273" t="s">
        <v>94</v>
      </c>
      <c r="D1273" s="2">
        <v>58409875.270000003</v>
      </c>
      <c r="E1273" s="2">
        <v>94163400.670000002</v>
      </c>
      <c r="F1273" s="2">
        <v>64528858.549999997</v>
      </c>
      <c r="G1273" s="2">
        <v>1275708.92</v>
      </c>
    </row>
    <row r="1274" spans="1:7" x14ac:dyDescent="0.25">
      <c r="A1274" s="1">
        <v>45078</v>
      </c>
      <c r="B1274" t="s">
        <v>37</v>
      </c>
      <c r="C1274" t="s">
        <v>95</v>
      </c>
      <c r="D1274" s="2">
        <v>77341414.040000007</v>
      </c>
      <c r="E1274" s="2">
        <v>33805522.780000001</v>
      </c>
      <c r="F1274" s="2">
        <v>26192234.670000002</v>
      </c>
      <c r="G1274" s="2">
        <v>4799567.7</v>
      </c>
    </row>
    <row r="1275" spans="1:7" x14ac:dyDescent="0.25">
      <c r="A1275" s="1">
        <v>45078</v>
      </c>
      <c r="B1275" t="s">
        <v>37</v>
      </c>
      <c r="C1275" t="s">
        <v>96</v>
      </c>
      <c r="D1275" s="2">
        <v>35950546.759999998</v>
      </c>
      <c r="E1275" s="2">
        <v>93147704.900000006</v>
      </c>
      <c r="F1275" s="2">
        <v>67688515.519999996</v>
      </c>
      <c r="G1275" s="2">
        <v>944559.5</v>
      </c>
    </row>
    <row r="1276" spans="1:7" x14ac:dyDescent="0.25">
      <c r="A1276" s="1">
        <v>45078</v>
      </c>
      <c r="B1276" t="s">
        <v>37</v>
      </c>
      <c r="C1276" t="s">
        <v>97</v>
      </c>
      <c r="D1276" s="2">
        <v>73913175.629999995</v>
      </c>
      <c r="E1276" s="2">
        <v>75706166.159999996</v>
      </c>
      <c r="F1276" s="2">
        <v>53094563.479999997</v>
      </c>
      <c r="G1276" s="2">
        <v>1638717.88</v>
      </c>
    </row>
    <row r="1277" spans="1:7" x14ac:dyDescent="0.25">
      <c r="A1277" s="1">
        <v>45078</v>
      </c>
      <c r="B1277" t="s">
        <v>37</v>
      </c>
      <c r="C1277" t="s">
        <v>98</v>
      </c>
      <c r="D1277" s="2">
        <v>4018054.27</v>
      </c>
      <c r="E1277" s="2">
        <v>41289847.789999999</v>
      </c>
      <c r="F1277" s="2">
        <v>24030480.620000001</v>
      </c>
      <c r="G1277" s="2">
        <v>890460.07</v>
      </c>
    </row>
    <row r="1278" spans="1:7" x14ac:dyDescent="0.25">
      <c r="A1278" s="1">
        <v>45078</v>
      </c>
      <c r="B1278" t="s">
        <v>37</v>
      </c>
      <c r="C1278" t="s">
        <v>99</v>
      </c>
      <c r="D1278" s="2">
        <v>111175543.94</v>
      </c>
      <c r="E1278" s="2">
        <v>171560041.15000001</v>
      </c>
      <c r="F1278" s="2">
        <v>124247237.06</v>
      </c>
      <c r="G1278" s="2">
        <v>2574529.1800000002</v>
      </c>
    </row>
    <row r="1279" spans="1:7" x14ac:dyDescent="0.25">
      <c r="A1279" s="1">
        <v>45078</v>
      </c>
      <c r="B1279" t="s">
        <v>37</v>
      </c>
      <c r="C1279" t="s">
        <v>100</v>
      </c>
      <c r="D1279" s="2">
        <v>36776792.469999999</v>
      </c>
      <c r="E1279" s="2">
        <v>35726146.439999998</v>
      </c>
      <c r="F1279" s="2">
        <v>28461824.170000002</v>
      </c>
      <c r="G1279" s="2">
        <v>5716443.5</v>
      </c>
    </row>
    <row r="1280" spans="1:7" x14ac:dyDescent="0.25">
      <c r="A1280" s="1">
        <v>45078</v>
      </c>
      <c r="B1280" t="s">
        <v>37</v>
      </c>
      <c r="C1280" t="s">
        <v>101</v>
      </c>
      <c r="D1280" s="2">
        <v>30523871.18</v>
      </c>
      <c r="E1280" s="2">
        <v>40362148.149999999</v>
      </c>
      <c r="F1280" s="2">
        <v>32900129.41</v>
      </c>
      <c r="G1280" s="2">
        <v>1853565.98</v>
      </c>
    </row>
    <row r="1281" spans="1:7" x14ac:dyDescent="0.25">
      <c r="A1281" s="1">
        <v>45078</v>
      </c>
      <c r="B1281" t="s">
        <v>37</v>
      </c>
      <c r="C1281" t="s">
        <v>102</v>
      </c>
      <c r="D1281" s="2">
        <v>3956012.4</v>
      </c>
      <c r="E1281" s="2">
        <v>23505969.829999998</v>
      </c>
      <c r="F1281" s="2">
        <v>18939160.010000002</v>
      </c>
      <c r="G1281" s="2">
        <v>5452181.71</v>
      </c>
    </row>
    <row r="1282" spans="1:7" x14ac:dyDescent="0.25">
      <c r="A1282" s="1">
        <v>45078</v>
      </c>
      <c r="B1282" t="s">
        <v>37</v>
      </c>
      <c r="C1282" t="s">
        <v>103</v>
      </c>
      <c r="D1282" s="2">
        <v>24132548.129999999</v>
      </c>
      <c r="E1282" s="2">
        <v>97802233.180000007</v>
      </c>
      <c r="F1282" s="2">
        <v>69609770.799999997</v>
      </c>
      <c r="G1282" s="2">
        <v>2441332.41</v>
      </c>
    </row>
    <row r="1283" spans="1:7" x14ac:dyDescent="0.25">
      <c r="A1283" s="1">
        <v>45078</v>
      </c>
      <c r="B1283" t="s">
        <v>37</v>
      </c>
      <c r="C1283" t="s">
        <v>104</v>
      </c>
      <c r="D1283" s="2">
        <v>19908275.109999999</v>
      </c>
      <c r="E1283" s="2">
        <v>105465003.01000001</v>
      </c>
      <c r="F1283" s="2">
        <v>72721547.469999999</v>
      </c>
      <c r="G1283" s="2">
        <v>3488047.9</v>
      </c>
    </row>
    <row r="1284" spans="1:7" x14ac:dyDescent="0.25">
      <c r="A1284" s="1">
        <v>45078</v>
      </c>
      <c r="B1284" t="s">
        <v>37</v>
      </c>
      <c r="C1284" t="s">
        <v>105</v>
      </c>
      <c r="D1284" s="2">
        <v>27674809.449999999</v>
      </c>
      <c r="E1284" s="2">
        <v>39607105.899999999</v>
      </c>
      <c r="F1284" s="2">
        <v>32026557.489999998</v>
      </c>
      <c r="G1284" s="2">
        <v>787059.6</v>
      </c>
    </row>
    <row r="1285" spans="1:7" x14ac:dyDescent="0.25">
      <c r="A1285" s="1">
        <v>45078</v>
      </c>
      <c r="B1285" t="s">
        <v>37</v>
      </c>
      <c r="C1285" t="s">
        <v>106</v>
      </c>
      <c r="D1285" s="2">
        <v>130220047.3</v>
      </c>
      <c r="E1285" s="2">
        <v>88114353.760000005</v>
      </c>
      <c r="F1285" s="2">
        <v>69469782.230000004</v>
      </c>
      <c r="G1285" s="2">
        <v>2938506.9</v>
      </c>
    </row>
    <row r="1286" spans="1:7" x14ac:dyDescent="0.25">
      <c r="A1286" s="1">
        <v>45078</v>
      </c>
      <c r="B1286" t="s">
        <v>37</v>
      </c>
      <c r="C1286" t="s">
        <v>107</v>
      </c>
      <c r="D1286" s="2">
        <v>14299171.949999999</v>
      </c>
      <c r="E1286" s="2">
        <v>43618973.270000003</v>
      </c>
      <c r="F1286" s="2">
        <v>34969414.460000001</v>
      </c>
      <c r="G1286" s="2">
        <v>2871105.05</v>
      </c>
    </row>
    <row r="1287" spans="1:7" x14ac:dyDescent="0.25">
      <c r="A1287" s="1">
        <v>45078</v>
      </c>
      <c r="B1287" t="s">
        <v>37</v>
      </c>
      <c r="C1287" t="s">
        <v>108</v>
      </c>
      <c r="D1287" s="2">
        <v>10376991.42</v>
      </c>
      <c r="E1287" s="2">
        <v>25932350.41</v>
      </c>
      <c r="F1287" s="2">
        <v>21466417.879999999</v>
      </c>
      <c r="G1287" s="2">
        <v>1331178.25</v>
      </c>
    </row>
    <row r="1288" spans="1:7" x14ac:dyDescent="0.25">
      <c r="A1288" s="1">
        <v>45078</v>
      </c>
      <c r="B1288" t="s">
        <v>50</v>
      </c>
      <c r="C1288" t="s">
        <v>109</v>
      </c>
      <c r="D1288">
        <v>0</v>
      </c>
      <c r="E1288" s="2">
        <v>387261385.55000001</v>
      </c>
      <c r="F1288" s="2">
        <v>387261385.55000001</v>
      </c>
      <c r="G1288">
        <v>0</v>
      </c>
    </row>
    <row r="1289" spans="1:7" x14ac:dyDescent="0.25">
      <c r="A1289" s="1">
        <v>45078</v>
      </c>
      <c r="B1289" t="s">
        <v>50</v>
      </c>
      <c r="C1289" t="s">
        <v>110</v>
      </c>
      <c r="D1289">
        <v>0</v>
      </c>
      <c r="E1289" s="2">
        <v>1161784156.54</v>
      </c>
      <c r="F1289" s="2">
        <v>1161784156.54</v>
      </c>
      <c r="G1289">
        <v>0</v>
      </c>
    </row>
    <row r="1290" spans="1:7" x14ac:dyDescent="0.25">
      <c r="A1290" s="1">
        <v>45078</v>
      </c>
      <c r="B1290" t="s">
        <v>50</v>
      </c>
      <c r="C1290" t="s">
        <v>111</v>
      </c>
      <c r="D1290">
        <v>0</v>
      </c>
      <c r="E1290" s="2">
        <v>387261385.55000001</v>
      </c>
      <c r="F1290" s="2">
        <v>387261385.55000001</v>
      </c>
      <c r="G1290">
        <v>0</v>
      </c>
    </row>
    <row r="1291" spans="1:7" x14ac:dyDescent="0.25">
      <c r="A1291" s="1">
        <v>45078</v>
      </c>
      <c r="B1291" t="s">
        <v>45</v>
      </c>
      <c r="C1291" t="s">
        <v>112</v>
      </c>
      <c r="D1291" s="2">
        <v>1836867433.54</v>
      </c>
      <c r="E1291" s="2">
        <v>2379958976.1100001</v>
      </c>
      <c r="F1291" s="2">
        <v>1952295600.49</v>
      </c>
      <c r="G1291" s="2">
        <v>9318240.8300000001</v>
      </c>
    </row>
    <row r="1292" spans="1:7" x14ac:dyDescent="0.25">
      <c r="A1292" s="1">
        <v>45078</v>
      </c>
      <c r="B1292" t="s">
        <v>11</v>
      </c>
      <c r="C1292" t="s">
        <v>113</v>
      </c>
      <c r="D1292" s="2">
        <v>63121745.450000003</v>
      </c>
      <c r="E1292" s="2">
        <v>78867937.879999995</v>
      </c>
      <c r="F1292" s="2">
        <v>78867937.879999995</v>
      </c>
      <c r="G1292">
        <v>0</v>
      </c>
    </row>
    <row r="1293" spans="1:7" x14ac:dyDescent="0.25">
      <c r="A1293" s="1">
        <v>45078</v>
      </c>
      <c r="B1293" t="s">
        <v>80</v>
      </c>
      <c r="C1293" t="s">
        <v>114</v>
      </c>
      <c r="D1293" s="2">
        <v>9923321140.2199993</v>
      </c>
      <c r="E1293" s="2">
        <v>9922481572.6800003</v>
      </c>
      <c r="F1293" s="2">
        <v>9922480910.1599998</v>
      </c>
      <c r="G1293" s="2">
        <v>34334325.219999999</v>
      </c>
    </row>
    <row r="1294" spans="1:7" x14ac:dyDescent="0.25">
      <c r="A1294" s="1">
        <v>45078</v>
      </c>
      <c r="B1294" t="s">
        <v>45</v>
      </c>
      <c r="C1294" t="s">
        <v>115</v>
      </c>
      <c r="D1294" s="2">
        <v>73248205.549999997</v>
      </c>
      <c r="E1294" s="2">
        <v>73248205.549999997</v>
      </c>
      <c r="F1294" s="2">
        <v>73248205.549999997</v>
      </c>
      <c r="G1294">
        <v>0</v>
      </c>
    </row>
    <row r="1295" spans="1:7" x14ac:dyDescent="0.25">
      <c r="A1295" s="1">
        <v>45078</v>
      </c>
      <c r="B1295" t="s">
        <v>63</v>
      </c>
      <c r="C1295" t="s">
        <v>116</v>
      </c>
      <c r="D1295">
        <v>0</v>
      </c>
      <c r="E1295" s="2">
        <v>34305.35</v>
      </c>
      <c r="F1295" s="2">
        <v>34305.35</v>
      </c>
      <c r="G1295" s="2">
        <v>97679610.280000001</v>
      </c>
    </row>
    <row r="1296" spans="1:7" x14ac:dyDescent="0.25">
      <c r="A1296" s="1">
        <v>45078</v>
      </c>
      <c r="B1296" t="s">
        <v>50</v>
      </c>
      <c r="C1296" t="s">
        <v>118</v>
      </c>
      <c r="D1296">
        <v>0</v>
      </c>
      <c r="E1296">
        <v>0</v>
      </c>
      <c r="F1296">
        <v>0</v>
      </c>
      <c r="G1296" s="2">
        <v>12254322.210000001</v>
      </c>
    </row>
    <row r="1297" spans="1:7" x14ac:dyDescent="0.25">
      <c r="A1297" s="1">
        <v>45078</v>
      </c>
      <c r="B1297" t="s">
        <v>50</v>
      </c>
      <c r="C1297" t="s">
        <v>119</v>
      </c>
      <c r="D1297">
        <v>0</v>
      </c>
      <c r="E1297">
        <v>0</v>
      </c>
      <c r="F1297">
        <v>0</v>
      </c>
      <c r="G1297" s="2">
        <v>46819752.030000001</v>
      </c>
    </row>
    <row r="1298" spans="1:7" x14ac:dyDescent="0.25">
      <c r="A1298" s="1">
        <v>45078</v>
      </c>
      <c r="B1298" t="s">
        <v>45</v>
      </c>
      <c r="C1298" t="s">
        <v>120</v>
      </c>
      <c r="D1298" s="2">
        <v>430904.47</v>
      </c>
      <c r="E1298" s="2">
        <v>430904.47</v>
      </c>
      <c r="F1298" s="2">
        <v>430907.88</v>
      </c>
      <c r="G1298">
        <v>0</v>
      </c>
    </row>
    <row r="1299" spans="1:7" x14ac:dyDescent="0.25">
      <c r="A1299" s="1">
        <v>45078</v>
      </c>
      <c r="B1299" t="s">
        <v>45</v>
      </c>
      <c r="C1299" t="s">
        <v>121</v>
      </c>
      <c r="D1299" s="2">
        <v>349333802.97000003</v>
      </c>
      <c r="E1299" s="2">
        <v>349745570.98000002</v>
      </c>
      <c r="F1299" s="2">
        <v>349745570.98000002</v>
      </c>
      <c r="G1299" s="2">
        <v>3012335.87</v>
      </c>
    </row>
    <row r="1300" spans="1:7" x14ac:dyDescent="0.25">
      <c r="A1300" s="1">
        <v>45078</v>
      </c>
      <c r="B1300" t="s">
        <v>61</v>
      </c>
      <c r="C1300" t="s">
        <v>122</v>
      </c>
      <c r="D1300" s="2">
        <v>709827.27</v>
      </c>
      <c r="E1300" s="2">
        <v>3333150.75</v>
      </c>
      <c r="F1300" s="2">
        <v>2619465.1</v>
      </c>
      <c r="G1300" s="2">
        <v>41044.160000000003</v>
      </c>
    </row>
    <row r="1301" spans="1:7" x14ac:dyDescent="0.25">
      <c r="A1301" s="1">
        <v>45078</v>
      </c>
      <c r="B1301" t="s">
        <v>29</v>
      </c>
      <c r="C1301" t="s">
        <v>124</v>
      </c>
      <c r="D1301" s="2">
        <v>254850403.36000001</v>
      </c>
      <c r="E1301" s="2">
        <v>210080887.41999999</v>
      </c>
      <c r="F1301" s="2">
        <v>230751529.25999999</v>
      </c>
      <c r="G1301" s="2">
        <v>14113371.16</v>
      </c>
    </row>
    <row r="1302" spans="1:7" x14ac:dyDescent="0.25">
      <c r="A1302" s="1">
        <v>45078</v>
      </c>
      <c r="B1302" t="s">
        <v>125</v>
      </c>
      <c r="C1302" t="s">
        <v>126</v>
      </c>
      <c r="D1302" s="2">
        <v>128521710555</v>
      </c>
      <c r="E1302" s="2">
        <v>96286394090.660004</v>
      </c>
      <c r="F1302" s="2">
        <v>96046175500.490005</v>
      </c>
      <c r="G1302" s="2">
        <v>4473346.8099999996</v>
      </c>
    </row>
    <row r="1303" spans="1:7" x14ac:dyDescent="0.25">
      <c r="A1303" s="1">
        <v>45078</v>
      </c>
      <c r="B1303" t="s">
        <v>127</v>
      </c>
      <c r="C1303" t="s">
        <v>128</v>
      </c>
      <c r="D1303">
        <v>0</v>
      </c>
      <c r="E1303" s="2">
        <v>23650000</v>
      </c>
      <c r="F1303" s="2">
        <v>23650000</v>
      </c>
      <c r="G1303">
        <v>0</v>
      </c>
    </row>
    <row r="1304" spans="1:7" x14ac:dyDescent="0.25">
      <c r="A1304" s="1">
        <v>45078</v>
      </c>
      <c r="B1304" t="s">
        <v>31</v>
      </c>
      <c r="C1304" t="s">
        <v>129</v>
      </c>
      <c r="D1304" s="2">
        <v>2605865.12</v>
      </c>
      <c r="E1304" s="2">
        <v>56108.97</v>
      </c>
      <c r="F1304" s="2">
        <v>56108.97</v>
      </c>
      <c r="G1304" s="2">
        <v>478539.44</v>
      </c>
    </row>
    <row r="1305" spans="1:7" x14ac:dyDescent="0.25">
      <c r="A1305" s="1">
        <v>45078</v>
      </c>
      <c r="B1305" t="s">
        <v>130</v>
      </c>
      <c r="C1305" t="s">
        <v>131</v>
      </c>
      <c r="D1305" s="2">
        <v>664927092.61000001</v>
      </c>
      <c r="E1305" s="2">
        <v>246081387.08000001</v>
      </c>
      <c r="F1305" s="2">
        <v>249369464.77000001</v>
      </c>
      <c r="G1305" s="2">
        <v>251854.57</v>
      </c>
    </row>
    <row r="1306" spans="1:7" x14ac:dyDescent="0.25">
      <c r="A1306" s="1">
        <v>45078</v>
      </c>
      <c r="B1306" t="s">
        <v>11</v>
      </c>
      <c r="C1306" t="s">
        <v>132</v>
      </c>
      <c r="D1306" s="2">
        <v>-2436000</v>
      </c>
      <c r="E1306" s="2">
        <v>4706336.78</v>
      </c>
      <c r="F1306" s="2">
        <v>4706336.78</v>
      </c>
      <c r="G1306" s="2">
        <v>2665109.48</v>
      </c>
    </row>
    <row r="1307" spans="1:7" x14ac:dyDescent="0.25">
      <c r="A1307" s="1">
        <v>45078</v>
      </c>
      <c r="B1307" t="s">
        <v>24</v>
      </c>
      <c r="C1307" t="s">
        <v>133</v>
      </c>
      <c r="D1307" s="2">
        <v>9047463</v>
      </c>
      <c r="E1307">
        <v>0</v>
      </c>
      <c r="F1307">
        <v>0</v>
      </c>
      <c r="G1307" s="2">
        <v>480396797.85000002</v>
      </c>
    </row>
    <row r="1308" spans="1:7" x14ac:dyDescent="0.25">
      <c r="A1308" s="1">
        <v>45078</v>
      </c>
      <c r="B1308" t="s">
        <v>9</v>
      </c>
      <c r="C1308" t="s">
        <v>135</v>
      </c>
      <c r="D1308" s="2">
        <v>100999964.22</v>
      </c>
      <c r="E1308" s="2">
        <v>121610939.02</v>
      </c>
      <c r="F1308" s="2">
        <v>265515518.13</v>
      </c>
      <c r="G1308" s="2">
        <v>13536080</v>
      </c>
    </row>
    <row r="1309" spans="1:7" x14ac:dyDescent="0.25">
      <c r="A1309" s="1">
        <v>45078</v>
      </c>
      <c r="B1309" t="s">
        <v>37</v>
      </c>
      <c r="C1309" t="s">
        <v>136</v>
      </c>
      <c r="D1309" s="2">
        <v>983344890.11000001</v>
      </c>
      <c r="E1309" s="2">
        <v>5593218388.6599998</v>
      </c>
      <c r="F1309" s="2">
        <v>5580842566.1300001</v>
      </c>
      <c r="G1309" s="2">
        <v>232363419.81999999</v>
      </c>
    </row>
    <row r="1310" spans="1:7" x14ac:dyDescent="0.25">
      <c r="A1310" s="1">
        <v>45078</v>
      </c>
      <c r="B1310" t="s">
        <v>48</v>
      </c>
      <c r="C1310" t="s">
        <v>137</v>
      </c>
      <c r="D1310" s="2">
        <v>13333.34</v>
      </c>
      <c r="E1310" s="2">
        <v>13333.34</v>
      </c>
      <c r="F1310" s="2">
        <v>13333.34</v>
      </c>
      <c r="G1310">
        <v>0</v>
      </c>
    </row>
    <row r="1311" spans="1:7" x14ac:dyDescent="0.25">
      <c r="A1311" s="1">
        <v>45078</v>
      </c>
      <c r="B1311" t="s">
        <v>31</v>
      </c>
      <c r="C1311" t="s">
        <v>138</v>
      </c>
      <c r="D1311" s="2">
        <v>1063600.6200000001</v>
      </c>
      <c r="E1311" s="2">
        <v>24400403.870000001</v>
      </c>
      <c r="F1311" s="2">
        <v>21320746.18</v>
      </c>
      <c r="G1311" s="2">
        <v>27873127.649999999</v>
      </c>
    </row>
    <row r="1312" spans="1:7" x14ac:dyDescent="0.25">
      <c r="A1312" s="1">
        <v>45078</v>
      </c>
      <c r="B1312" t="s">
        <v>22</v>
      </c>
      <c r="C1312" t="s">
        <v>139</v>
      </c>
      <c r="D1312" s="2">
        <v>6446.78</v>
      </c>
      <c r="E1312" s="2">
        <v>6446.78</v>
      </c>
      <c r="F1312" s="2">
        <v>6446.78</v>
      </c>
      <c r="G1312">
        <v>0</v>
      </c>
    </row>
    <row r="1313" spans="1:7" x14ac:dyDescent="0.25">
      <c r="A1313" s="1">
        <v>45078</v>
      </c>
      <c r="B1313" t="s">
        <v>27</v>
      </c>
      <c r="C1313" t="s">
        <v>142</v>
      </c>
      <c r="D1313" s="2">
        <v>3023622.58</v>
      </c>
      <c r="E1313" s="2">
        <v>3023622.58</v>
      </c>
      <c r="F1313" s="2">
        <v>3023622.58</v>
      </c>
      <c r="G1313" s="2">
        <v>476414.92</v>
      </c>
    </row>
    <row r="1314" spans="1:7" x14ac:dyDescent="0.25">
      <c r="A1314" s="1">
        <v>45078</v>
      </c>
      <c r="B1314" t="s">
        <v>31</v>
      </c>
      <c r="C1314" t="s">
        <v>143</v>
      </c>
      <c r="D1314" s="2">
        <v>11965843.73</v>
      </c>
      <c r="E1314" s="2">
        <v>7124446.8300000001</v>
      </c>
      <c r="F1314" s="2">
        <v>6931279.0499999998</v>
      </c>
      <c r="G1314" s="2">
        <v>18879732.140000001</v>
      </c>
    </row>
    <row r="1315" spans="1:7" x14ac:dyDescent="0.25">
      <c r="A1315" s="1">
        <v>45078</v>
      </c>
      <c r="B1315" t="s">
        <v>61</v>
      </c>
      <c r="C1315" t="s">
        <v>144</v>
      </c>
      <c r="D1315" s="2">
        <v>54422.16</v>
      </c>
      <c r="E1315" s="2">
        <v>746019.35</v>
      </c>
      <c r="F1315" s="2">
        <v>571391.44999999995</v>
      </c>
      <c r="G1315">
        <v>0</v>
      </c>
    </row>
    <row r="1316" spans="1:7" x14ac:dyDescent="0.25">
      <c r="A1316" s="1">
        <v>45078</v>
      </c>
      <c r="B1316" t="s">
        <v>37</v>
      </c>
      <c r="C1316" t="s">
        <v>145</v>
      </c>
      <c r="D1316" s="2">
        <v>166169087.59</v>
      </c>
      <c r="E1316" s="2">
        <v>164910007.61000001</v>
      </c>
      <c r="F1316" s="2">
        <v>158100169.59</v>
      </c>
      <c r="G1316" s="2">
        <v>4789816.3899999997</v>
      </c>
    </row>
    <row r="1317" spans="1:7" x14ac:dyDescent="0.25">
      <c r="A1317" s="1">
        <v>45078</v>
      </c>
      <c r="B1317" t="s">
        <v>16</v>
      </c>
      <c r="C1317" t="s">
        <v>146</v>
      </c>
      <c r="D1317" s="2">
        <v>163862149.61000001</v>
      </c>
      <c r="E1317" s="2">
        <v>151777237.02000001</v>
      </c>
      <c r="F1317" s="2">
        <v>156960521.58000001</v>
      </c>
      <c r="G1317" s="2">
        <v>1558042.06</v>
      </c>
    </row>
    <row r="1318" spans="1:7" x14ac:dyDescent="0.25">
      <c r="A1318" s="1">
        <v>45078</v>
      </c>
      <c r="B1318" t="s">
        <v>29</v>
      </c>
      <c r="C1318" t="s">
        <v>147</v>
      </c>
      <c r="D1318" s="2">
        <v>35000435.810000002</v>
      </c>
      <c r="E1318" s="2">
        <v>23296166.039999999</v>
      </c>
      <c r="F1318" s="2">
        <v>18324500.82</v>
      </c>
      <c r="G1318" s="2">
        <v>8517687.5099999998</v>
      </c>
    </row>
    <row r="1319" spans="1:7" x14ac:dyDescent="0.25">
      <c r="A1319" s="1">
        <v>45078</v>
      </c>
      <c r="B1319" t="s">
        <v>24</v>
      </c>
      <c r="C1319" t="s">
        <v>148</v>
      </c>
      <c r="D1319" s="2">
        <v>13590946.1</v>
      </c>
      <c r="E1319" s="2">
        <v>15132496.27</v>
      </c>
      <c r="F1319" s="2">
        <v>12478418.08</v>
      </c>
      <c r="G1319" s="2">
        <v>788619.1</v>
      </c>
    </row>
    <row r="1320" spans="1:7" x14ac:dyDescent="0.25">
      <c r="A1320" s="1">
        <v>45078</v>
      </c>
      <c r="B1320" t="s">
        <v>22</v>
      </c>
      <c r="C1320" t="s">
        <v>149</v>
      </c>
      <c r="D1320" s="2">
        <v>126481786.86</v>
      </c>
      <c r="E1320" s="2">
        <v>162610185.18000001</v>
      </c>
      <c r="F1320" s="2">
        <v>115394385.75</v>
      </c>
      <c r="G1320" s="2">
        <v>2698569.24</v>
      </c>
    </row>
    <row r="1321" spans="1:7" x14ac:dyDescent="0.25">
      <c r="A1321" s="1">
        <v>45078</v>
      </c>
      <c r="B1321" t="s">
        <v>22</v>
      </c>
      <c r="C1321" t="s">
        <v>150</v>
      </c>
      <c r="D1321" s="2">
        <v>80988050</v>
      </c>
      <c r="E1321" s="2">
        <v>81883656.269999996</v>
      </c>
      <c r="F1321" s="2">
        <v>63300526.159999996</v>
      </c>
      <c r="G1321" s="2">
        <v>3522217.49</v>
      </c>
    </row>
    <row r="1322" spans="1:7" x14ac:dyDescent="0.25">
      <c r="A1322" s="1">
        <v>45078</v>
      </c>
      <c r="B1322" t="s">
        <v>77</v>
      </c>
      <c r="C1322" t="s">
        <v>151</v>
      </c>
      <c r="D1322" s="2">
        <v>2212020.38</v>
      </c>
      <c r="E1322" s="2">
        <v>41805189.439999998</v>
      </c>
      <c r="F1322" s="2">
        <v>28017113.809999999</v>
      </c>
      <c r="G1322" s="2">
        <v>40847.07</v>
      </c>
    </row>
    <row r="1323" spans="1:7" x14ac:dyDescent="0.25">
      <c r="A1323" s="1">
        <v>45078</v>
      </c>
      <c r="B1323" t="s">
        <v>22</v>
      </c>
      <c r="C1323" t="s">
        <v>152</v>
      </c>
      <c r="D1323" s="2">
        <v>1908605.78</v>
      </c>
      <c r="E1323" s="2">
        <v>7414706</v>
      </c>
      <c r="F1323" s="2">
        <v>6230299.5300000003</v>
      </c>
      <c r="G1323" s="2">
        <v>532252.51</v>
      </c>
    </row>
    <row r="1324" spans="1:7" x14ac:dyDescent="0.25">
      <c r="A1324" s="1">
        <v>45078</v>
      </c>
      <c r="B1324" t="s">
        <v>24</v>
      </c>
      <c r="C1324" t="s">
        <v>153</v>
      </c>
      <c r="D1324" s="2">
        <v>3498000.12</v>
      </c>
      <c r="E1324" s="2">
        <v>29641904.43</v>
      </c>
      <c r="F1324" s="2">
        <v>22453266.370000001</v>
      </c>
      <c r="G1324" s="2">
        <v>6659629.21</v>
      </c>
    </row>
    <row r="1325" spans="1:7" x14ac:dyDescent="0.25">
      <c r="A1325" s="1">
        <v>45078</v>
      </c>
      <c r="B1325" t="s">
        <v>37</v>
      </c>
      <c r="C1325" t="s">
        <v>154</v>
      </c>
      <c r="D1325" s="2">
        <v>8725240.3800000008</v>
      </c>
      <c r="E1325" s="2">
        <v>37095704.82</v>
      </c>
      <c r="F1325" s="2">
        <v>31266917.129999999</v>
      </c>
      <c r="G1325" s="2">
        <v>2327373.92</v>
      </c>
    </row>
    <row r="1326" spans="1:7" x14ac:dyDescent="0.25">
      <c r="A1326" s="1">
        <v>45078</v>
      </c>
      <c r="B1326" t="s">
        <v>37</v>
      </c>
      <c r="C1326" t="s">
        <v>155</v>
      </c>
      <c r="D1326" s="2">
        <v>5962752.0300000003</v>
      </c>
      <c r="E1326" s="2">
        <v>44048798.799999997</v>
      </c>
      <c r="F1326" s="2">
        <v>32747919.100000001</v>
      </c>
      <c r="G1326" s="2">
        <v>1270665.1499999999</v>
      </c>
    </row>
    <row r="1327" spans="1:7" x14ac:dyDescent="0.25">
      <c r="A1327" s="1">
        <v>45078</v>
      </c>
      <c r="B1327" t="s">
        <v>37</v>
      </c>
      <c r="C1327" t="s">
        <v>156</v>
      </c>
      <c r="D1327" s="2">
        <v>51161813.840000004</v>
      </c>
      <c r="E1327" s="2">
        <v>66122436.359999999</v>
      </c>
      <c r="F1327" s="2">
        <v>57850965.380000003</v>
      </c>
      <c r="G1327" s="2">
        <v>881267.06</v>
      </c>
    </row>
    <row r="1328" spans="1:7" x14ac:dyDescent="0.25">
      <c r="A1328" s="1">
        <v>45078</v>
      </c>
      <c r="B1328" t="s">
        <v>37</v>
      </c>
      <c r="C1328" t="s">
        <v>157</v>
      </c>
      <c r="D1328" s="2">
        <v>21205803.010000002</v>
      </c>
      <c r="E1328" s="2">
        <v>62759386.420000002</v>
      </c>
      <c r="F1328" s="2">
        <v>53151694.119999997</v>
      </c>
      <c r="G1328" s="2">
        <v>3490294.39</v>
      </c>
    </row>
    <row r="1329" spans="1:7" x14ac:dyDescent="0.25">
      <c r="A1329" s="1">
        <v>45078</v>
      </c>
      <c r="B1329" t="s">
        <v>37</v>
      </c>
      <c r="C1329" t="s">
        <v>158</v>
      </c>
      <c r="D1329" s="2">
        <v>10204514.189999999</v>
      </c>
      <c r="E1329" s="2">
        <v>37232863.100000001</v>
      </c>
      <c r="F1329" s="2">
        <v>33049218.530000001</v>
      </c>
      <c r="G1329" s="2">
        <v>2219560.15</v>
      </c>
    </row>
    <row r="1330" spans="1:7" x14ac:dyDescent="0.25">
      <c r="A1330" s="1">
        <v>45078</v>
      </c>
      <c r="B1330" t="s">
        <v>37</v>
      </c>
      <c r="C1330" t="s">
        <v>159</v>
      </c>
      <c r="D1330" s="2">
        <v>32608448.199999999</v>
      </c>
      <c r="E1330" s="2">
        <v>28979044.170000002</v>
      </c>
      <c r="F1330" s="2">
        <v>23164540.52</v>
      </c>
      <c r="G1330" s="2">
        <v>2033130.57</v>
      </c>
    </row>
    <row r="1331" spans="1:7" x14ac:dyDescent="0.25">
      <c r="A1331" s="1">
        <v>45078</v>
      </c>
      <c r="B1331" t="s">
        <v>37</v>
      </c>
      <c r="C1331" t="s">
        <v>160</v>
      </c>
      <c r="D1331" s="2">
        <v>12756279.710000001</v>
      </c>
      <c r="E1331" s="2">
        <v>51066403.049999997</v>
      </c>
      <c r="F1331" s="2">
        <v>39304098.420000002</v>
      </c>
      <c r="G1331" s="2">
        <v>1767959.06</v>
      </c>
    </row>
    <row r="1332" spans="1:7" x14ac:dyDescent="0.25">
      <c r="A1332" s="1">
        <v>45078</v>
      </c>
      <c r="B1332" t="s">
        <v>37</v>
      </c>
      <c r="C1332" t="s">
        <v>161</v>
      </c>
      <c r="D1332" s="2">
        <v>7627332.2000000002</v>
      </c>
      <c r="E1332" s="2">
        <v>48114522.840000004</v>
      </c>
      <c r="F1332" s="2">
        <v>40312881.960000001</v>
      </c>
      <c r="G1332" s="2">
        <v>2443504.79</v>
      </c>
    </row>
    <row r="1333" spans="1:7" x14ac:dyDescent="0.25">
      <c r="A1333" s="1">
        <v>45078</v>
      </c>
      <c r="B1333" t="s">
        <v>37</v>
      </c>
      <c r="C1333" t="s">
        <v>162</v>
      </c>
      <c r="D1333" s="2">
        <v>6909249.3300000001</v>
      </c>
      <c r="E1333" s="2">
        <v>62535813.850000001</v>
      </c>
      <c r="F1333" s="2">
        <v>52594229.939999998</v>
      </c>
      <c r="G1333" s="2">
        <v>1382900.67</v>
      </c>
    </row>
    <row r="1334" spans="1:7" x14ac:dyDescent="0.25">
      <c r="A1334" s="1">
        <v>45078</v>
      </c>
      <c r="B1334" t="s">
        <v>37</v>
      </c>
      <c r="C1334" t="s">
        <v>163</v>
      </c>
      <c r="D1334" s="2">
        <v>5584453.54</v>
      </c>
      <c r="E1334" s="2">
        <v>26767598.559999999</v>
      </c>
      <c r="F1334" s="2">
        <v>20210856.239999998</v>
      </c>
      <c r="G1334" s="2">
        <v>1359848.14</v>
      </c>
    </row>
    <row r="1335" spans="1:7" x14ac:dyDescent="0.25">
      <c r="A1335" s="1">
        <v>45078</v>
      </c>
      <c r="B1335" t="s">
        <v>37</v>
      </c>
      <c r="C1335" t="s">
        <v>164</v>
      </c>
      <c r="D1335" s="2">
        <v>19778406.82</v>
      </c>
      <c r="E1335" s="2">
        <v>16096733.550000001</v>
      </c>
      <c r="F1335" s="2">
        <v>12956198.859999999</v>
      </c>
      <c r="G1335" s="2">
        <v>351655.36</v>
      </c>
    </row>
    <row r="1336" spans="1:7" x14ac:dyDescent="0.25">
      <c r="A1336" s="1">
        <v>45078</v>
      </c>
      <c r="B1336" t="s">
        <v>37</v>
      </c>
      <c r="C1336" t="s">
        <v>165</v>
      </c>
      <c r="D1336" s="2">
        <v>255132166.36000001</v>
      </c>
      <c r="E1336" s="2">
        <v>66453820.200000003</v>
      </c>
      <c r="F1336" s="2">
        <v>48769661.600000001</v>
      </c>
      <c r="G1336" s="2">
        <v>1397261.81</v>
      </c>
    </row>
    <row r="1337" spans="1:7" x14ac:dyDescent="0.25">
      <c r="A1337" s="1">
        <v>45078</v>
      </c>
      <c r="B1337" t="s">
        <v>37</v>
      </c>
      <c r="C1337" t="s">
        <v>166</v>
      </c>
      <c r="D1337" s="2">
        <v>8701695.1500000004</v>
      </c>
      <c r="E1337" s="2">
        <v>30518008.559999999</v>
      </c>
      <c r="F1337" s="2">
        <v>22656868.420000002</v>
      </c>
      <c r="G1337" s="2">
        <v>587711.28</v>
      </c>
    </row>
    <row r="1338" spans="1:7" x14ac:dyDescent="0.25">
      <c r="A1338" s="1">
        <v>45078</v>
      </c>
      <c r="B1338" t="s">
        <v>37</v>
      </c>
      <c r="C1338" t="s">
        <v>167</v>
      </c>
      <c r="D1338" s="2">
        <v>16387899.279999999</v>
      </c>
      <c r="E1338" s="2">
        <v>115160369.22</v>
      </c>
      <c r="F1338" s="2">
        <v>89522594.629999995</v>
      </c>
      <c r="G1338" s="2">
        <v>3578782.29</v>
      </c>
    </row>
    <row r="1339" spans="1:7" x14ac:dyDescent="0.25">
      <c r="A1339" s="1">
        <v>45078</v>
      </c>
      <c r="B1339" t="s">
        <v>37</v>
      </c>
      <c r="C1339" t="s">
        <v>168</v>
      </c>
      <c r="D1339" s="2">
        <v>2589397.9300000002</v>
      </c>
      <c r="E1339" s="2">
        <v>15056480.82</v>
      </c>
      <c r="F1339" s="2">
        <v>10143747.91</v>
      </c>
      <c r="G1339" s="2">
        <v>662263.85</v>
      </c>
    </row>
    <row r="1340" spans="1:7" x14ac:dyDescent="0.25">
      <c r="A1340" s="1">
        <v>45078</v>
      </c>
      <c r="B1340" t="s">
        <v>37</v>
      </c>
      <c r="C1340" t="s">
        <v>169</v>
      </c>
      <c r="D1340" s="2">
        <v>2333901.89</v>
      </c>
      <c r="E1340" s="2">
        <v>11922757.779999999</v>
      </c>
      <c r="F1340" s="2">
        <v>10452823.050000001</v>
      </c>
      <c r="G1340" s="2">
        <v>1047243.51</v>
      </c>
    </row>
    <row r="1341" spans="1:7" x14ac:dyDescent="0.25">
      <c r="A1341" s="1">
        <v>45078</v>
      </c>
      <c r="B1341" t="s">
        <v>37</v>
      </c>
      <c r="C1341" t="s">
        <v>170</v>
      </c>
      <c r="D1341" s="2">
        <v>10773798.300000001</v>
      </c>
      <c r="E1341" s="2">
        <v>43454827.549999997</v>
      </c>
      <c r="F1341" s="2">
        <v>32445122.66</v>
      </c>
      <c r="G1341" s="2">
        <v>1675904.78</v>
      </c>
    </row>
    <row r="1342" spans="1:7" x14ac:dyDescent="0.25">
      <c r="A1342" s="1">
        <v>45078</v>
      </c>
      <c r="B1342" t="s">
        <v>37</v>
      </c>
      <c r="C1342" t="s">
        <v>171</v>
      </c>
      <c r="D1342" s="2">
        <v>97526945.019999996</v>
      </c>
      <c r="E1342" s="2">
        <v>91817256.209999993</v>
      </c>
      <c r="F1342" s="2">
        <v>66623166.490000002</v>
      </c>
      <c r="G1342" s="2">
        <v>1970880.18</v>
      </c>
    </row>
    <row r="1343" spans="1:7" x14ac:dyDescent="0.25">
      <c r="A1343" s="1">
        <v>45078</v>
      </c>
      <c r="B1343" t="s">
        <v>37</v>
      </c>
      <c r="C1343" t="s">
        <v>172</v>
      </c>
      <c r="D1343" s="2">
        <v>56074186.590000004</v>
      </c>
      <c r="E1343" s="2">
        <v>80763039.260000005</v>
      </c>
      <c r="F1343" s="2">
        <v>60470947.789999999</v>
      </c>
      <c r="G1343" s="2">
        <v>2838768.99</v>
      </c>
    </row>
    <row r="1344" spans="1:7" x14ac:dyDescent="0.25">
      <c r="A1344" s="1">
        <v>45078</v>
      </c>
      <c r="B1344" t="s">
        <v>37</v>
      </c>
      <c r="C1344" t="s">
        <v>173</v>
      </c>
      <c r="D1344" s="2">
        <v>12510707.51</v>
      </c>
      <c r="E1344" s="2">
        <v>75900969.010000005</v>
      </c>
      <c r="F1344" s="2">
        <v>55686136.380000003</v>
      </c>
      <c r="G1344" s="2">
        <v>3285131.49</v>
      </c>
    </row>
    <row r="1345" spans="1:7" x14ac:dyDescent="0.25">
      <c r="A1345" s="1">
        <v>45078</v>
      </c>
      <c r="B1345" t="s">
        <v>37</v>
      </c>
      <c r="C1345" t="s">
        <v>174</v>
      </c>
      <c r="D1345" s="2">
        <v>32331436.829999998</v>
      </c>
      <c r="E1345" s="2">
        <v>57530417.219999999</v>
      </c>
      <c r="F1345" s="2">
        <v>42396826.520000003</v>
      </c>
      <c r="G1345" s="2">
        <v>2510971.64</v>
      </c>
    </row>
    <row r="1346" spans="1:7" x14ac:dyDescent="0.25">
      <c r="A1346" s="1">
        <v>45078</v>
      </c>
      <c r="B1346" t="s">
        <v>37</v>
      </c>
      <c r="C1346" t="s">
        <v>175</v>
      </c>
      <c r="D1346" s="2">
        <v>29112360.670000002</v>
      </c>
      <c r="E1346" s="2">
        <v>27678288.260000002</v>
      </c>
      <c r="F1346" s="2">
        <v>18069959.489999998</v>
      </c>
      <c r="G1346" s="2">
        <v>1852233.36</v>
      </c>
    </row>
    <row r="1347" spans="1:7" x14ac:dyDescent="0.25">
      <c r="A1347" s="1">
        <v>45078</v>
      </c>
      <c r="B1347" t="s">
        <v>37</v>
      </c>
      <c r="C1347" t="s">
        <v>176</v>
      </c>
      <c r="D1347" s="2">
        <v>9717194.3200000003</v>
      </c>
      <c r="E1347" s="2">
        <v>30965511.609999999</v>
      </c>
      <c r="F1347" s="2">
        <v>24766635.239999998</v>
      </c>
      <c r="G1347" s="2">
        <v>1297496.08</v>
      </c>
    </row>
    <row r="1348" spans="1:7" x14ac:dyDescent="0.25">
      <c r="A1348" s="1">
        <v>45078</v>
      </c>
      <c r="B1348" t="s">
        <v>37</v>
      </c>
      <c r="C1348" t="s">
        <v>177</v>
      </c>
      <c r="D1348" s="2">
        <v>9455490.2899999991</v>
      </c>
      <c r="E1348" s="2">
        <v>56702120.439999998</v>
      </c>
      <c r="F1348" s="2">
        <v>42007558.32</v>
      </c>
      <c r="G1348" s="2">
        <v>2071163.66</v>
      </c>
    </row>
    <row r="1349" spans="1:7" x14ac:dyDescent="0.25">
      <c r="A1349" s="1">
        <v>45078</v>
      </c>
      <c r="B1349" t="s">
        <v>37</v>
      </c>
      <c r="C1349" t="s">
        <v>178</v>
      </c>
      <c r="D1349" s="2">
        <v>64338502.090000004</v>
      </c>
      <c r="E1349" s="2">
        <v>62020398.609999999</v>
      </c>
      <c r="F1349" s="2">
        <v>48588812</v>
      </c>
      <c r="G1349" s="2">
        <v>549773.61</v>
      </c>
    </row>
    <row r="1350" spans="1:7" x14ac:dyDescent="0.25">
      <c r="A1350" s="1">
        <v>45078</v>
      </c>
      <c r="B1350" t="s">
        <v>37</v>
      </c>
      <c r="C1350" t="s">
        <v>179</v>
      </c>
      <c r="D1350" s="2">
        <v>29114834.949999999</v>
      </c>
      <c r="E1350" s="2">
        <v>55426721.950000003</v>
      </c>
      <c r="F1350" s="2">
        <v>41741386.539999999</v>
      </c>
      <c r="G1350" s="2">
        <v>1074241.67</v>
      </c>
    </row>
    <row r="1351" spans="1:7" x14ac:dyDescent="0.25">
      <c r="A1351" s="1">
        <v>45078</v>
      </c>
      <c r="B1351" t="s">
        <v>37</v>
      </c>
      <c r="C1351" t="s">
        <v>180</v>
      </c>
      <c r="D1351" s="2">
        <v>5148597.78</v>
      </c>
      <c r="E1351" s="2">
        <v>50746719.82</v>
      </c>
      <c r="F1351" s="2">
        <v>41295659.729999997</v>
      </c>
      <c r="G1351" s="2">
        <v>1590574.07</v>
      </c>
    </row>
    <row r="1352" spans="1:7" x14ac:dyDescent="0.25">
      <c r="A1352" s="1">
        <v>45078</v>
      </c>
      <c r="B1352" t="s">
        <v>37</v>
      </c>
      <c r="C1352" t="s">
        <v>181</v>
      </c>
      <c r="D1352" s="2">
        <v>9870610.5199999996</v>
      </c>
      <c r="E1352" s="2">
        <v>68195536.219999999</v>
      </c>
      <c r="F1352" s="2">
        <v>57839174.920000002</v>
      </c>
      <c r="G1352" s="2">
        <v>8617352.1099999994</v>
      </c>
    </row>
    <row r="1353" spans="1:7" x14ac:dyDescent="0.25">
      <c r="A1353" s="1">
        <v>45078</v>
      </c>
      <c r="B1353" t="s">
        <v>37</v>
      </c>
      <c r="C1353" t="s">
        <v>182</v>
      </c>
      <c r="D1353" s="2">
        <v>4899877.16</v>
      </c>
      <c r="E1353" s="2">
        <v>53951696.390000001</v>
      </c>
      <c r="F1353" s="2">
        <v>43866045.789999999</v>
      </c>
      <c r="G1353" s="2">
        <v>1091912.8799999999</v>
      </c>
    </row>
    <row r="1354" spans="1:7" x14ac:dyDescent="0.25">
      <c r="A1354" s="1">
        <v>45078</v>
      </c>
      <c r="B1354" t="s">
        <v>37</v>
      </c>
      <c r="C1354" t="s">
        <v>183</v>
      </c>
      <c r="D1354" s="2">
        <v>5264523.45</v>
      </c>
      <c r="E1354" s="2">
        <v>21855112.370000001</v>
      </c>
      <c r="F1354" s="2">
        <v>18026525.84</v>
      </c>
      <c r="G1354" s="2">
        <v>702948.51</v>
      </c>
    </row>
    <row r="1355" spans="1:7" x14ac:dyDescent="0.25">
      <c r="A1355" s="1">
        <v>45078</v>
      </c>
      <c r="B1355" t="s">
        <v>37</v>
      </c>
      <c r="C1355" t="s">
        <v>184</v>
      </c>
      <c r="D1355" s="2">
        <v>5996933.1500000004</v>
      </c>
      <c r="E1355" s="2">
        <v>35235487.780000001</v>
      </c>
      <c r="F1355" s="2">
        <v>27582294.030000001</v>
      </c>
      <c r="G1355" s="2">
        <v>2299962.67</v>
      </c>
    </row>
    <row r="1356" spans="1:7" x14ac:dyDescent="0.25">
      <c r="A1356" s="1">
        <v>45078</v>
      </c>
      <c r="B1356" t="s">
        <v>37</v>
      </c>
      <c r="C1356" t="s">
        <v>185</v>
      </c>
      <c r="D1356" s="2">
        <v>6708106.5599999996</v>
      </c>
      <c r="E1356" s="2">
        <v>31209670.280000001</v>
      </c>
      <c r="F1356" s="2">
        <v>26216272.940000001</v>
      </c>
      <c r="G1356" s="2">
        <v>1604285.26</v>
      </c>
    </row>
    <row r="1357" spans="1:7" x14ac:dyDescent="0.25">
      <c r="A1357" s="1">
        <v>45078</v>
      </c>
      <c r="B1357" t="s">
        <v>37</v>
      </c>
      <c r="C1357" t="s">
        <v>186</v>
      </c>
      <c r="D1357" s="2">
        <v>10407251.24</v>
      </c>
      <c r="E1357" s="2">
        <v>28052443.460000001</v>
      </c>
      <c r="F1357" s="2">
        <v>23612777.25</v>
      </c>
      <c r="G1357" s="2">
        <v>318567.12</v>
      </c>
    </row>
    <row r="1358" spans="1:7" x14ac:dyDescent="0.25">
      <c r="A1358" s="1">
        <v>45078</v>
      </c>
      <c r="B1358" t="s">
        <v>37</v>
      </c>
      <c r="C1358" t="s">
        <v>187</v>
      </c>
      <c r="D1358" s="2">
        <v>13806895.16</v>
      </c>
      <c r="E1358" s="2">
        <v>27851937.760000002</v>
      </c>
      <c r="F1358" s="2">
        <v>23133582.539999999</v>
      </c>
      <c r="G1358" s="2">
        <v>917368.68</v>
      </c>
    </row>
    <row r="1359" spans="1:7" x14ac:dyDescent="0.25">
      <c r="A1359" s="1">
        <v>45078</v>
      </c>
      <c r="B1359" t="s">
        <v>37</v>
      </c>
      <c r="C1359" t="s">
        <v>188</v>
      </c>
      <c r="D1359" s="2">
        <v>29985789.73</v>
      </c>
      <c r="E1359" s="2">
        <v>34647181.719999999</v>
      </c>
      <c r="F1359" s="2">
        <v>29302577.09</v>
      </c>
      <c r="G1359" s="2">
        <v>1335021.53</v>
      </c>
    </row>
    <row r="1360" spans="1:7" x14ac:dyDescent="0.25">
      <c r="A1360" s="1">
        <v>45078</v>
      </c>
      <c r="B1360" t="s">
        <v>37</v>
      </c>
      <c r="C1360" t="s">
        <v>189</v>
      </c>
      <c r="D1360" s="2">
        <v>9410613.8499999996</v>
      </c>
      <c r="E1360" s="2">
        <v>46377066</v>
      </c>
      <c r="F1360" s="2">
        <v>33859944.149999999</v>
      </c>
      <c r="G1360" s="2">
        <v>728127.96</v>
      </c>
    </row>
    <row r="1361" spans="1:7" x14ac:dyDescent="0.25">
      <c r="A1361" s="1">
        <v>45078</v>
      </c>
      <c r="B1361" t="s">
        <v>37</v>
      </c>
      <c r="C1361" t="s">
        <v>190</v>
      </c>
      <c r="D1361" s="2">
        <v>4930171.1500000004</v>
      </c>
      <c r="E1361" s="2">
        <v>35880055.810000002</v>
      </c>
      <c r="F1361" s="2">
        <v>28544304.23</v>
      </c>
      <c r="G1361" s="2">
        <v>1460648.19</v>
      </c>
    </row>
    <row r="1362" spans="1:7" x14ac:dyDescent="0.25">
      <c r="A1362" s="1">
        <v>45078</v>
      </c>
      <c r="B1362" t="s">
        <v>37</v>
      </c>
      <c r="C1362" t="s">
        <v>191</v>
      </c>
      <c r="D1362" s="2">
        <v>14087935.880000001</v>
      </c>
      <c r="E1362" s="2">
        <v>50813340.030000001</v>
      </c>
      <c r="F1362" s="2">
        <v>38255928.909999996</v>
      </c>
      <c r="G1362" s="2">
        <v>1031888.35</v>
      </c>
    </row>
    <row r="1363" spans="1:7" x14ac:dyDescent="0.25">
      <c r="A1363" s="1">
        <v>45078</v>
      </c>
      <c r="B1363" t="s">
        <v>192</v>
      </c>
      <c r="C1363" t="s">
        <v>193</v>
      </c>
      <c r="D1363" s="2">
        <v>15584191.75</v>
      </c>
      <c r="E1363" s="2">
        <v>37739210</v>
      </c>
      <c r="F1363" s="2">
        <v>26479381.91</v>
      </c>
      <c r="G1363" s="2">
        <v>2073292.98</v>
      </c>
    </row>
    <row r="1364" spans="1:7" x14ac:dyDescent="0.25">
      <c r="A1364" s="1">
        <v>45078</v>
      </c>
      <c r="B1364" t="s">
        <v>53</v>
      </c>
      <c r="C1364" t="s">
        <v>194</v>
      </c>
      <c r="D1364" s="2">
        <v>116629816.25</v>
      </c>
      <c r="E1364" s="2">
        <v>150313636.94999999</v>
      </c>
      <c r="F1364" s="2">
        <v>111075356.48</v>
      </c>
      <c r="G1364" s="2">
        <v>24826184.780000001</v>
      </c>
    </row>
    <row r="1365" spans="1:7" x14ac:dyDescent="0.25">
      <c r="A1365" s="1">
        <v>45078</v>
      </c>
      <c r="B1365" t="s">
        <v>37</v>
      </c>
      <c r="C1365" t="s">
        <v>195</v>
      </c>
      <c r="D1365" s="2">
        <v>64234662.890000001</v>
      </c>
      <c r="E1365" s="2">
        <v>30826998.870000001</v>
      </c>
      <c r="F1365" s="2">
        <v>28509569.760000002</v>
      </c>
      <c r="G1365" s="2">
        <v>27420761.399999999</v>
      </c>
    </row>
    <row r="1366" spans="1:7" x14ac:dyDescent="0.25">
      <c r="A1366" s="1">
        <v>45078</v>
      </c>
      <c r="B1366" t="s">
        <v>192</v>
      </c>
      <c r="C1366" t="s">
        <v>196</v>
      </c>
      <c r="D1366" s="2">
        <v>65078778.850000001</v>
      </c>
      <c r="E1366" s="2">
        <v>74852582.549999997</v>
      </c>
      <c r="F1366" s="2">
        <v>72681845.370000005</v>
      </c>
      <c r="G1366" s="2">
        <v>3541105.74</v>
      </c>
    </row>
    <row r="1367" spans="1:7" x14ac:dyDescent="0.25">
      <c r="A1367" s="1">
        <v>45078</v>
      </c>
      <c r="B1367" t="s">
        <v>61</v>
      </c>
      <c r="C1367" t="s">
        <v>197</v>
      </c>
      <c r="D1367" s="2">
        <v>307489</v>
      </c>
      <c r="E1367" s="2">
        <v>1647177.7</v>
      </c>
      <c r="F1367" s="2">
        <v>1964447.75</v>
      </c>
      <c r="G1367" s="2">
        <v>25735.62</v>
      </c>
    </row>
    <row r="1368" spans="1:7" x14ac:dyDescent="0.25">
      <c r="A1368" s="1">
        <v>45078</v>
      </c>
      <c r="B1368" t="s">
        <v>125</v>
      </c>
      <c r="C1368" t="s">
        <v>198</v>
      </c>
      <c r="D1368" s="2">
        <v>108341251.81</v>
      </c>
      <c r="E1368" s="2">
        <v>8682393239.2299995</v>
      </c>
      <c r="F1368" s="2">
        <v>8319920206.3299999</v>
      </c>
      <c r="G1368" s="2">
        <v>24974859.170000002</v>
      </c>
    </row>
    <row r="1369" spans="1:7" x14ac:dyDescent="0.25">
      <c r="A1369" s="1">
        <v>45078</v>
      </c>
      <c r="B1369" t="s">
        <v>63</v>
      </c>
      <c r="C1369" t="s">
        <v>199</v>
      </c>
      <c r="D1369" s="2">
        <v>385540137.11000001</v>
      </c>
      <c r="E1369" s="2">
        <v>485660059.93000001</v>
      </c>
      <c r="F1369" s="2">
        <v>282681161.74000001</v>
      </c>
      <c r="G1369" s="2">
        <v>122721878.89</v>
      </c>
    </row>
    <row r="1370" spans="1:7" x14ac:dyDescent="0.25">
      <c r="A1370" s="1">
        <v>45078</v>
      </c>
      <c r="B1370" t="s">
        <v>9</v>
      </c>
      <c r="C1370" t="s">
        <v>200</v>
      </c>
      <c r="D1370" s="2">
        <v>199562905.41</v>
      </c>
      <c r="E1370" s="2">
        <v>487922269.81999999</v>
      </c>
      <c r="F1370" s="2">
        <v>430554663.51999998</v>
      </c>
      <c r="G1370" s="2">
        <v>15375141.08</v>
      </c>
    </row>
    <row r="1371" spans="1:7" x14ac:dyDescent="0.25">
      <c r="A1371" s="1">
        <v>45078</v>
      </c>
      <c r="B1371" t="s">
        <v>24</v>
      </c>
      <c r="C1371" t="s">
        <v>201</v>
      </c>
      <c r="D1371" s="2">
        <v>9693007.5099999998</v>
      </c>
      <c r="E1371" s="2">
        <v>15854219.07</v>
      </c>
      <c r="F1371" s="2">
        <v>16382998.369999999</v>
      </c>
      <c r="G1371" s="2">
        <v>9573994.1199999992</v>
      </c>
    </row>
    <row r="1372" spans="1:7" x14ac:dyDescent="0.25">
      <c r="A1372" s="1">
        <v>45078</v>
      </c>
      <c r="B1372" t="s">
        <v>29</v>
      </c>
      <c r="C1372" t="s">
        <v>202</v>
      </c>
      <c r="D1372" s="2">
        <v>145876750.88999999</v>
      </c>
      <c r="E1372" s="2">
        <v>72918272.760000005</v>
      </c>
      <c r="F1372" s="2">
        <v>66063859.210000001</v>
      </c>
      <c r="G1372" s="2">
        <v>52780910.659999996</v>
      </c>
    </row>
    <row r="1373" spans="1:7" x14ac:dyDescent="0.25">
      <c r="A1373" s="1">
        <v>45078</v>
      </c>
      <c r="B1373" t="s">
        <v>37</v>
      </c>
      <c r="C1373" t="s">
        <v>203</v>
      </c>
      <c r="D1373" s="2">
        <v>70443391.920000002</v>
      </c>
      <c r="E1373" s="2">
        <v>96875466.019999996</v>
      </c>
      <c r="F1373" s="2">
        <v>72715600.519999996</v>
      </c>
      <c r="G1373" s="2">
        <v>62551862.359999999</v>
      </c>
    </row>
    <row r="1374" spans="1:7" x14ac:dyDescent="0.25">
      <c r="A1374" s="1">
        <v>45078</v>
      </c>
      <c r="B1374" t="s">
        <v>45</v>
      </c>
      <c r="C1374" t="s">
        <v>204</v>
      </c>
      <c r="D1374" s="2">
        <v>330770258575.75</v>
      </c>
      <c r="E1374" s="2">
        <v>40022902317.830002</v>
      </c>
      <c r="F1374" s="2">
        <v>40127753920.279999</v>
      </c>
      <c r="G1374" s="2">
        <v>90708043.340000004</v>
      </c>
    </row>
    <row r="1375" spans="1:7" x14ac:dyDescent="0.25">
      <c r="A1375" s="1">
        <v>45078</v>
      </c>
      <c r="B1375" t="s">
        <v>75</v>
      </c>
      <c r="C1375" t="s">
        <v>205</v>
      </c>
      <c r="D1375" s="2">
        <v>165142811.44999999</v>
      </c>
      <c r="E1375" s="2">
        <v>3703802139.7800002</v>
      </c>
      <c r="F1375" s="2">
        <v>2715457912.1500001</v>
      </c>
      <c r="G1375" s="2">
        <v>105433041.19</v>
      </c>
    </row>
    <row r="1376" spans="1:7" x14ac:dyDescent="0.25">
      <c r="A1376" s="1">
        <v>45078</v>
      </c>
      <c r="B1376" t="s">
        <v>206</v>
      </c>
      <c r="C1376" t="s">
        <v>207</v>
      </c>
      <c r="D1376" s="2">
        <v>30000</v>
      </c>
      <c r="E1376" s="2">
        <v>124593.98</v>
      </c>
      <c r="F1376" s="2">
        <v>76079.850000000006</v>
      </c>
      <c r="G1376">
        <v>0</v>
      </c>
    </row>
    <row r="1377" spans="1:7" x14ac:dyDescent="0.25">
      <c r="A1377" s="1">
        <v>45078</v>
      </c>
      <c r="B1377" t="s">
        <v>50</v>
      </c>
      <c r="C1377" t="s">
        <v>208</v>
      </c>
      <c r="D1377" s="2">
        <v>263622270.66999999</v>
      </c>
      <c r="E1377" s="2">
        <v>31674184.739999998</v>
      </c>
      <c r="F1377" s="2">
        <v>50469070.439999998</v>
      </c>
      <c r="G1377" s="2">
        <v>184527850.91999999</v>
      </c>
    </row>
    <row r="1378" spans="1:7" x14ac:dyDescent="0.25">
      <c r="A1378" s="1">
        <v>45078</v>
      </c>
      <c r="B1378" t="s">
        <v>31</v>
      </c>
      <c r="C1378" t="s">
        <v>209</v>
      </c>
      <c r="D1378" s="2">
        <v>28843694.109999999</v>
      </c>
      <c r="E1378" s="2">
        <v>76052157.480000004</v>
      </c>
      <c r="F1378" s="2">
        <v>61831209.530000001</v>
      </c>
      <c r="G1378" s="2">
        <v>20089787.010000002</v>
      </c>
    </row>
    <row r="1379" spans="1:7" x14ac:dyDescent="0.25">
      <c r="A1379" s="1">
        <v>45078</v>
      </c>
      <c r="B1379" t="s">
        <v>210</v>
      </c>
      <c r="C1379" t="s">
        <v>211</v>
      </c>
      <c r="D1379">
        <v>411.42</v>
      </c>
      <c r="E1379" s="2">
        <v>393692.89</v>
      </c>
      <c r="F1379" s="2">
        <v>391211.57</v>
      </c>
      <c r="G1379">
        <v>0</v>
      </c>
    </row>
    <row r="1380" spans="1:7" x14ac:dyDescent="0.25">
      <c r="A1380" s="1">
        <v>45078</v>
      </c>
      <c r="B1380" t="s">
        <v>125</v>
      </c>
      <c r="C1380" t="s">
        <v>212</v>
      </c>
      <c r="D1380" s="2">
        <v>1578690.14</v>
      </c>
      <c r="E1380" s="2">
        <v>393769.86</v>
      </c>
      <c r="F1380" s="2">
        <v>400951</v>
      </c>
      <c r="G1380">
        <v>0</v>
      </c>
    </row>
    <row r="1381" spans="1:7" x14ac:dyDescent="0.25">
      <c r="A1381" s="1">
        <v>45078</v>
      </c>
      <c r="B1381" t="s">
        <v>16</v>
      </c>
      <c r="C1381" t="s">
        <v>213</v>
      </c>
      <c r="D1381" s="2">
        <v>11966871775.040001</v>
      </c>
      <c r="E1381" s="2">
        <v>14484412130.290001</v>
      </c>
      <c r="F1381" s="2">
        <v>14051073044.6</v>
      </c>
      <c r="G1381" s="2">
        <v>544985889.00999999</v>
      </c>
    </row>
    <row r="1382" spans="1:7" x14ac:dyDescent="0.25">
      <c r="A1382" s="1">
        <v>45078</v>
      </c>
      <c r="B1382" t="s">
        <v>48</v>
      </c>
      <c r="C1382" t="s">
        <v>214</v>
      </c>
      <c r="D1382" s="2">
        <v>7142310371.3400002</v>
      </c>
      <c r="E1382" s="2">
        <v>20370500.539999999</v>
      </c>
      <c r="F1382" s="2">
        <v>18119558.98</v>
      </c>
      <c r="G1382" s="2">
        <v>65528434.880000003</v>
      </c>
    </row>
    <row r="1383" spans="1:7" x14ac:dyDescent="0.25">
      <c r="A1383" s="1">
        <v>45078</v>
      </c>
      <c r="B1383" t="s">
        <v>27</v>
      </c>
      <c r="C1383" t="s">
        <v>215</v>
      </c>
      <c r="D1383" s="2">
        <v>-169331025.88999999</v>
      </c>
      <c r="E1383" s="2">
        <v>9253719.2899999991</v>
      </c>
      <c r="F1383" s="2">
        <v>8099533.6600000001</v>
      </c>
      <c r="G1383" s="2">
        <v>14395905.98</v>
      </c>
    </row>
    <row r="1384" spans="1:7" x14ac:dyDescent="0.25">
      <c r="A1384" s="1">
        <v>45078</v>
      </c>
      <c r="B1384" t="s">
        <v>216</v>
      </c>
      <c r="C1384" t="s">
        <v>217</v>
      </c>
      <c r="D1384" s="2">
        <v>100000</v>
      </c>
      <c r="E1384" s="2">
        <v>194988.35</v>
      </c>
      <c r="F1384" s="2">
        <v>185364.85</v>
      </c>
      <c r="G1384" s="2">
        <v>1376000</v>
      </c>
    </row>
    <row r="1385" spans="1:7" x14ac:dyDescent="0.25">
      <c r="A1385" s="1">
        <v>45078</v>
      </c>
      <c r="B1385" t="s">
        <v>69</v>
      </c>
      <c r="C1385" t="s">
        <v>218</v>
      </c>
      <c r="D1385" s="2">
        <v>262947020.47999999</v>
      </c>
      <c r="E1385" s="2">
        <v>373737627.77999997</v>
      </c>
      <c r="F1385" s="2">
        <v>347720296.98000002</v>
      </c>
      <c r="G1385" s="2">
        <v>1150175.96</v>
      </c>
    </row>
    <row r="1386" spans="1:7" x14ac:dyDescent="0.25">
      <c r="A1386" s="1">
        <v>45078</v>
      </c>
      <c r="B1386" t="s">
        <v>13</v>
      </c>
      <c r="C1386" t="s">
        <v>219</v>
      </c>
      <c r="D1386" s="2">
        <v>2836449.26</v>
      </c>
      <c r="E1386" s="2">
        <v>46112579.259999998</v>
      </c>
      <c r="F1386" s="2">
        <v>43886871.200000003</v>
      </c>
      <c r="G1386" s="2">
        <v>246846</v>
      </c>
    </row>
    <row r="1387" spans="1:7" x14ac:dyDescent="0.25">
      <c r="A1387" s="1">
        <v>45078</v>
      </c>
      <c r="B1387" t="s">
        <v>53</v>
      </c>
      <c r="C1387" t="s">
        <v>220</v>
      </c>
      <c r="D1387" s="2">
        <v>13927748.439999999</v>
      </c>
      <c r="E1387" s="2">
        <v>1838744.08</v>
      </c>
      <c r="F1387" s="2">
        <v>1784496.36</v>
      </c>
      <c r="G1387" s="2">
        <v>13710688.24</v>
      </c>
    </row>
    <row r="1388" spans="1:7" x14ac:dyDescent="0.25">
      <c r="A1388" s="1">
        <v>45078</v>
      </c>
      <c r="B1388" t="s">
        <v>130</v>
      </c>
      <c r="C1388" t="s">
        <v>221</v>
      </c>
      <c r="D1388" s="2">
        <v>825533410.08000004</v>
      </c>
      <c r="E1388" s="2">
        <v>15444920960.42</v>
      </c>
      <c r="F1388" s="2">
        <v>15440424015.91</v>
      </c>
      <c r="G1388" s="2">
        <v>26936719.539999999</v>
      </c>
    </row>
    <row r="1389" spans="1:7" x14ac:dyDescent="0.25">
      <c r="A1389" s="1">
        <v>45078</v>
      </c>
      <c r="B1389" t="s">
        <v>192</v>
      </c>
      <c r="C1389" t="s">
        <v>222</v>
      </c>
      <c r="D1389" s="2">
        <v>907283700.95000005</v>
      </c>
      <c r="E1389" s="2">
        <v>906898657.71000004</v>
      </c>
      <c r="F1389" s="2">
        <v>906897835.25</v>
      </c>
      <c r="G1389" s="2">
        <v>467341.83</v>
      </c>
    </row>
    <row r="1390" spans="1:7" x14ac:dyDescent="0.25">
      <c r="A1390" s="1">
        <v>45078</v>
      </c>
      <c r="B1390" t="s">
        <v>223</v>
      </c>
      <c r="C1390" t="s">
        <v>224</v>
      </c>
      <c r="D1390" s="2">
        <v>271062858.75999999</v>
      </c>
      <c r="E1390" s="2">
        <v>9715815.8800000008</v>
      </c>
      <c r="F1390" s="2">
        <v>9709514.4100000001</v>
      </c>
      <c r="G1390" s="2">
        <v>54904160.659999996</v>
      </c>
    </row>
    <row r="1391" spans="1:7" x14ac:dyDescent="0.25">
      <c r="A1391" s="1">
        <v>45078</v>
      </c>
      <c r="B1391" t="s">
        <v>22</v>
      </c>
      <c r="C1391" t="s">
        <v>225</v>
      </c>
      <c r="D1391" s="2">
        <v>2702645.8</v>
      </c>
      <c r="E1391" s="2">
        <v>21449119.02</v>
      </c>
      <c r="F1391" s="2">
        <v>17177128.84</v>
      </c>
      <c r="G1391" s="2">
        <v>3161493.44</v>
      </c>
    </row>
    <row r="1392" spans="1:7" x14ac:dyDescent="0.25">
      <c r="A1392" s="1">
        <v>45078</v>
      </c>
      <c r="B1392" t="s">
        <v>77</v>
      </c>
      <c r="C1392" t="s">
        <v>226</v>
      </c>
      <c r="D1392" s="2">
        <v>-5742427.46</v>
      </c>
      <c r="E1392" s="2">
        <v>5574140.6500000004</v>
      </c>
      <c r="F1392" s="2">
        <v>5574140.6500000004</v>
      </c>
      <c r="G1392" s="2">
        <v>44767924.07</v>
      </c>
    </row>
    <row r="1393" spans="1:7" x14ac:dyDescent="0.25">
      <c r="A1393" s="1">
        <v>45078</v>
      </c>
      <c r="B1393" t="s">
        <v>80</v>
      </c>
      <c r="C1393" t="s">
        <v>227</v>
      </c>
      <c r="D1393" s="2">
        <v>372106329.37</v>
      </c>
      <c r="E1393" s="2">
        <v>344370374.91000003</v>
      </c>
      <c r="F1393" s="2">
        <v>312690431.05000001</v>
      </c>
      <c r="G1393" s="2">
        <v>2185139.3199999998</v>
      </c>
    </row>
    <row r="1394" spans="1:7" x14ac:dyDescent="0.25">
      <c r="A1394" s="1">
        <v>45078</v>
      </c>
      <c r="B1394" t="s">
        <v>127</v>
      </c>
      <c r="C1394" t="s">
        <v>228</v>
      </c>
      <c r="D1394" s="2">
        <v>125379779.56</v>
      </c>
      <c r="E1394" s="2">
        <v>20588613.920000002</v>
      </c>
      <c r="F1394" s="2">
        <v>13857946.210000001</v>
      </c>
      <c r="G1394" s="2">
        <v>43192396.649999999</v>
      </c>
    </row>
    <row r="1395" spans="1:7" x14ac:dyDescent="0.25">
      <c r="A1395" s="1">
        <v>45078</v>
      </c>
      <c r="B1395" t="s">
        <v>140</v>
      </c>
      <c r="C1395" t="s">
        <v>229</v>
      </c>
      <c r="D1395" s="2">
        <v>25264577.300000001</v>
      </c>
      <c r="E1395" s="2">
        <v>21385090.5</v>
      </c>
      <c r="F1395" s="2">
        <v>18113964.43</v>
      </c>
      <c r="G1395" s="2">
        <v>7255148.9900000002</v>
      </c>
    </row>
    <row r="1396" spans="1:7" x14ac:dyDescent="0.25">
      <c r="A1396" s="1">
        <v>45078</v>
      </c>
      <c r="B1396" t="s">
        <v>19</v>
      </c>
      <c r="C1396" t="s">
        <v>230</v>
      </c>
      <c r="D1396" s="2">
        <v>49081068.520000003</v>
      </c>
      <c r="E1396" s="2">
        <v>31072354.780000001</v>
      </c>
      <c r="F1396" s="2">
        <v>25104685.920000002</v>
      </c>
      <c r="G1396" s="2">
        <v>1149309.6100000001</v>
      </c>
    </row>
    <row r="1397" spans="1:7" x14ac:dyDescent="0.25">
      <c r="A1397" s="1">
        <v>45078</v>
      </c>
      <c r="B1397" t="s">
        <v>13</v>
      </c>
      <c r="C1397" t="s">
        <v>231</v>
      </c>
      <c r="D1397" s="2">
        <v>4397942.93</v>
      </c>
      <c r="E1397" s="2">
        <v>32845650.550000001</v>
      </c>
      <c r="F1397" s="2">
        <v>27297178.300000001</v>
      </c>
      <c r="G1397" s="2">
        <v>6590.5</v>
      </c>
    </row>
    <row r="1398" spans="1:7" x14ac:dyDescent="0.25">
      <c r="A1398" s="1">
        <v>45078</v>
      </c>
      <c r="B1398" t="s">
        <v>31</v>
      </c>
      <c r="C1398" t="s">
        <v>232</v>
      </c>
      <c r="D1398" s="2">
        <v>165542021.81</v>
      </c>
      <c r="E1398" s="2">
        <v>851730426.78999996</v>
      </c>
      <c r="F1398" s="2">
        <v>697123211.97000003</v>
      </c>
      <c r="G1398" s="2">
        <v>16107980.58</v>
      </c>
    </row>
    <row r="1399" spans="1:7" x14ac:dyDescent="0.25">
      <c r="A1399" s="1">
        <v>45078</v>
      </c>
      <c r="B1399" t="s">
        <v>31</v>
      </c>
      <c r="C1399" t="s">
        <v>233</v>
      </c>
      <c r="D1399" s="2">
        <v>118415739.91</v>
      </c>
      <c r="E1399" s="2">
        <v>590529171.52999997</v>
      </c>
      <c r="F1399" s="2">
        <v>472366169.86000001</v>
      </c>
      <c r="G1399" s="2">
        <v>23228927.850000001</v>
      </c>
    </row>
    <row r="1400" spans="1:7" x14ac:dyDescent="0.25">
      <c r="A1400" s="1">
        <v>45078</v>
      </c>
      <c r="B1400" t="s">
        <v>61</v>
      </c>
      <c r="C1400" t="s">
        <v>234</v>
      </c>
      <c r="D1400" s="2">
        <v>27010553.25</v>
      </c>
      <c r="E1400" s="2">
        <v>116399992.20999999</v>
      </c>
      <c r="F1400" s="2">
        <v>97433066.420000002</v>
      </c>
      <c r="G1400" s="2">
        <v>981947.21</v>
      </c>
    </row>
    <row r="1401" spans="1:7" x14ac:dyDescent="0.25">
      <c r="A1401" s="1">
        <v>45078</v>
      </c>
      <c r="B1401" t="s">
        <v>22</v>
      </c>
      <c r="C1401" t="s">
        <v>235</v>
      </c>
      <c r="D1401" s="2">
        <v>51213.84</v>
      </c>
      <c r="E1401" s="2">
        <v>302717.88</v>
      </c>
      <c r="F1401" s="2">
        <v>323020.40999999997</v>
      </c>
      <c r="G1401" s="2">
        <v>13474.54</v>
      </c>
    </row>
    <row r="1402" spans="1:7" x14ac:dyDescent="0.25">
      <c r="A1402" s="1">
        <v>45078</v>
      </c>
      <c r="B1402" t="s">
        <v>192</v>
      </c>
      <c r="C1402" t="s">
        <v>236</v>
      </c>
      <c r="D1402" s="2">
        <v>15535100</v>
      </c>
      <c r="E1402" s="2">
        <v>13324692.699999999</v>
      </c>
      <c r="F1402" s="2">
        <v>10602865.42</v>
      </c>
      <c r="G1402" s="2">
        <v>48405.9</v>
      </c>
    </row>
    <row r="1403" spans="1:7" x14ac:dyDescent="0.25">
      <c r="A1403" s="1">
        <v>45078</v>
      </c>
      <c r="B1403" t="s">
        <v>50</v>
      </c>
      <c r="C1403" t="s">
        <v>237</v>
      </c>
      <c r="D1403" s="2">
        <v>102844571.77</v>
      </c>
      <c r="E1403" s="2">
        <v>2443678.6800000002</v>
      </c>
      <c r="F1403" s="2">
        <v>1964747.94</v>
      </c>
      <c r="G1403" s="2">
        <v>28925207.539999999</v>
      </c>
    </row>
    <row r="1404" spans="1:7" x14ac:dyDescent="0.25">
      <c r="A1404" s="1">
        <v>45078</v>
      </c>
      <c r="B1404" t="s">
        <v>45</v>
      </c>
      <c r="C1404" t="s">
        <v>238</v>
      </c>
      <c r="D1404" s="2">
        <v>2209555.59</v>
      </c>
      <c r="E1404" s="2">
        <v>24819477.530000001</v>
      </c>
      <c r="F1404" s="2">
        <v>19523525.949999999</v>
      </c>
      <c r="G1404">
        <v>0</v>
      </c>
    </row>
    <row r="1405" spans="1:7" x14ac:dyDescent="0.25">
      <c r="A1405" s="1">
        <v>45078</v>
      </c>
      <c r="B1405" t="s">
        <v>50</v>
      </c>
      <c r="C1405" t="s">
        <v>239</v>
      </c>
      <c r="D1405" s="2">
        <v>8264457.29</v>
      </c>
      <c r="E1405" s="2">
        <v>3397664.97</v>
      </c>
      <c r="F1405" s="2">
        <v>2507443.27</v>
      </c>
      <c r="G1405" s="2">
        <v>355503.88</v>
      </c>
    </row>
    <row r="1406" spans="1:7" x14ac:dyDescent="0.25">
      <c r="A1406" s="1">
        <v>45078</v>
      </c>
      <c r="B1406" t="s">
        <v>50</v>
      </c>
      <c r="C1406" t="s">
        <v>240</v>
      </c>
      <c r="D1406" s="2">
        <v>7118994.5999999996</v>
      </c>
      <c r="E1406" s="2">
        <v>4353255.7699999996</v>
      </c>
      <c r="F1406" s="2">
        <v>3281941.83</v>
      </c>
      <c r="G1406" s="2">
        <v>640214.80000000005</v>
      </c>
    </row>
    <row r="1407" spans="1:7" x14ac:dyDescent="0.25">
      <c r="A1407" s="1">
        <v>45078</v>
      </c>
      <c r="B1407" t="s">
        <v>125</v>
      </c>
      <c r="C1407" t="s">
        <v>241</v>
      </c>
      <c r="D1407" s="2">
        <v>576956.96</v>
      </c>
      <c r="E1407" s="2">
        <v>3590491.88</v>
      </c>
      <c r="F1407" s="2">
        <v>3157133.77</v>
      </c>
      <c r="G1407" s="2">
        <v>177648</v>
      </c>
    </row>
    <row r="1408" spans="1:7" x14ac:dyDescent="0.25">
      <c r="A1408" s="1">
        <v>45078</v>
      </c>
      <c r="B1408" t="s">
        <v>27</v>
      </c>
      <c r="C1408" t="s">
        <v>242</v>
      </c>
      <c r="D1408" s="2">
        <v>30115606.68</v>
      </c>
      <c r="E1408" s="2">
        <v>47140999.479999997</v>
      </c>
      <c r="F1408" s="2">
        <v>57351655.149999999</v>
      </c>
      <c r="G1408" s="2">
        <v>17845177.789999999</v>
      </c>
    </row>
    <row r="1409" spans="1:7" x14ac:dyDescent="0.25">
      <c r="A1409" s="1">
        <v>45078</v>
      </c>
      <c r="B1409" t="s">
        <v>37</v>
      </c>
      <c r="C1409" t="s">
        <v>243</v>
      </c>
      <c r="D1409" s="2">
        <v>6714202.5199999996</v>
      </c>
      <c r="E1409" s="2">
        <v>16824690.84</v>
      </c>
      <c r="F1409" s="2">
        <v>11831123.1</v>
      </c>
      <c r="G1409" s="2">
        <v>142860.01999999999</v>
      </c>
    </row>
    <row r="1410" spans="1:7" x14ac:dyDescent="0.25">
      <c r="A1410" s="1">
        <v>45078</v>
      </c>
      <c r="B1410" t="s">
        <v>37</v>
      </c>
      <c r="C1410" t="s">
        <v>244</v>
      </c>
      <c r="D1410" s="2">
        <v>120199313.69</v>
      </c>
      <c r="E1410" s="2">
        <v>223495981.44999999</v>
      </c>
      <c r="F1410" s="2">
        <v>158119268.97</v>
      </c>
      <c r="G1410" s="2">
        <v>3203299.12</v>
      </c>
    </row>
    <row r="1411" spans="1:7" x14ac:dyDescent="0.25">
      <c r="A1411" s="1">
        <v>45078</v>
      </c>
      <c r="B1411" t="s">
        <v>37</v>
      </c>
      <c r="C1411" t="s">
        <v>245</v>
      </c>
      <c r="D1411" s="2">
        <v>24002062.359999999</v>
      </c>
      <c r="E1411" s="2">
        <v>32164801.629999999</v>
      </c>
      <c r="F1411" s="2">
        <v>23137598.73</v>
      </c>
      <c r="G1411" s="2">
        <v>2733602.58</v>
      </c>
    </row>
    <row r="1412" spans="1:7" x14ac:dyDescent="0.25">
      <c r="A1412" s="1">
        <v>45078</v>
      </c>
      <c r="B1412" t="s">
        <v>37</v>
      </c>
      <c r="C1412" t="s">
        <v>246</v>
      </c>
      <c r="D1412" s="2">
        <v>5344221.93</v>
      </c>
      <c r="E1412" s="2">
        <v>17688300.390000001</v>
      </c>
      <c r="F1412" s="2">
        <v>14007404.210000001</v>
      </c>
      <c r="G1412" s="2">
        <v>1497758.66</v>
      </c>
    </row>
    <row r="1413" spans="1:7" x14ac:dyDescent="0.25">
      <c r="A1413" s="1">
        <v>45078</v>
      </c>
      <c r="B1413" t="s">
        <v>37</v>
      </c>
      <c r="C1413" t="s">
        <v>247</v>
      </c>
      <c r="D1413" s="2">
        <v>172289832.87</v>
      </c>
      <c r="E1413" s="2">
        <v>200659997.63</v>
      </c>
      <c r="F1413" s="2">
        <v>148283768.91</v>
      </c>
      <c r="G1413" s="2">
        <v>1538894.08</v>
      </c>
    </row>
    <row r="1414" spans="1:7" x14ac:dyDescent="0.25">
      <c r="A1414" s="1">
        <v>45078</v>
      </c>
      <c r="B1414" t="s">
        <v>37</v>
      </c>
      <c r="C1414" t="s">
        <v>248</v>
      </c>
      <c r="D1414" s="2">
        <v>58975331.109999999</v>
      </c>
      <c r="E1414" s="2">
        <v>107690284.58</v>
      </c>
      <c r="F1414" s="2">
        <v>87490395.530000001</v>
      </c>
      <c r="G1414" s="2">
        <v>6778098.0300000003</v>
      </c>
    </row>
    <row r="1415" spans="1:7" x14ac:dyDescent="0.25">
      <c r="A1415" s="1">
        <v>45078</v>
      </c>
      <c r="B1415" t="s">
        <v>37</v>
      </c>
      <c r="C1415" t="s">
        <v>249</v>
      </c>
      <c r="D1415" s="2">
        <v>19704552.98</v>
      </c>
      <c r="E1415" s="2">
        <v>27869446.719999999</v>
      </c>
      <c r="F1415" s="2">
        <v>23312066</v>
      </c>
      <c r="G1415" s="2">
        <v>876028.39</v>
      </c>
    </row>
    <row r="1416" spans="1:7" x14ac:dyDescent="0.25">
      <c r="A1416" s="1">
        <v>45078</v>
      </c>
      <c r="B1416" t="s">
        <v>37</v>
      </c>
      <c r="C1416" t="s">
        <v>250</v>
      </c>
      <c r="D1416" s="2">
        <v>21292728.530000001</v>
      </c>
      <c r="E1416" s="2">
        <v>90856225.989999995</v>
      </c>
      <c r="F1416" s="2">
        <v>68151034.319999993</v>
      </c>
      <c r="G1416" s="2">
        <v>5657562.2000000002</v>
      </c>
    </row>
    <row r="1417" spans="1:7" x14ac:dyDescent="0.25">
      <c r="A1417" s="1">
        <v>45078</v>
      </c>
      <c r="B1417" t="s">
        <v>37</v>
      </c>
      <c r="C1417" t="s">
        <v>251</v>
      </c>
      <c r="D1417" s="2">
        <v>3443123.09</v>
      </c>
      <c r="E1417" s="2">
        <v>11454839.6</v>
      </c>
      <c r="F1417" s="2">
        <v>8651008.3399999999</v>
      </c>
      <c r="G1417" s="2">
        <v>399268.37</v>
      </c>
    </row>
    <row r="1418" spans="1:7" x14ac:dyDescent="0.25">
      <c r="A1418" s="1">
        <v>45078</v>
      </c>
      <c r="B1418" t="s">
        <v>37</v>
      </c>
      <c r="C1418" t="s">
        <v>252</v>
      </c>
      <c r="D1418" s="2">
        <v>34094579.68</v>
      </c>
      <c r="E1418" s="2">
        <v>149778022.96000001</v>
      </c>
      <c r="F1418" s="2">
        <v>115166046.52</v>
      </c>
      <c r="G1418" s="2">
        <v>564055.94999999995</v>
      </c>
    </row>
    <row r="1419" spans="1:7" x14ac:dyDescent="0.25">
      <c r="A1419" s="1">
        <v>45078</v>
      </c>
      <c r="B1419" t="s">
        <v>37</v>
      </c>
      <c r="C1419" t="s">
        <v>253</v>
      </c>
      <c r="D1419" s="2">
        <v>5170693.8</v>
      </c>
      <c r="E1419" s="2">
        <v>26597094.120000001</v>
      </c>
      <c r="F1419" s="2">
        <v>18765410.440000001</v>
      </c>
      <c r="G1419" s="2">
        <v>1804564.36</v>
      </c>
    </row>
    <row r="1420" spans="1:7" x14ac:dyDescent="0.25">
      <c r="A1420" s="1">
        <v>45078</v>
      </c>
      <c r="B1420" t="s">
        <v>37</v>
      </c>
      <c r="C1420" t="s">
        <v>254</v>
      </c>
      <c r="D1420" s="2">
        <v>2728181.36</v>
      </c>
      <c r="E1420" s="2">
        <v>12610164.16</v>
      </c>
      <c r="F1420" s="2">
        <v>9978529.0800000001</v>
      </c>
      <c r="G1420" s="2">
        <v>36415.03</v>
      </c>
    </row>
    <row r="1421" spans="1:7" x14ac:dyDescent="0.25">
      <c r="A1421" s="1">
        <v>45078</v>
      </c>
      <c r="B1421" t="s">
        <v>37</v>
      </c>
      <c r="C1421" t="s">
        <v>255</v>
      </c>
      <c r="D1421" s="2">
        <v>64679585.630000003</v>
      </c>
      <c r="E1421" s="2">
        <v>110588964.93000001</v>
      </c>
      <c r="F1421" s="2">
        <v>79612563.109999999</v>
      </c>
      <c r="G1421" s="2">
        <v>1449561.83</v>
      </c>
    </row>
    <row r="1422" spans="1:7" x14ac:dyDescent="0.25">
      <c r="A1422" s="1">
        <v>45078</v>
      </c>
      <c r="B1422" t="s">
        <v>37</v>
      </c>
      <c r="C1422" t="s">
        <v>256</v>
      </c>
      <c r="D1422" s="2">
        <v>21438533.370000001</v>
      </c>
      <c r="E1422" s="2">
        <v>48237587.310000002</v>
      </c>
      <c r="F1422" s="2">
        <v>35166708.640000001</v>
      </c>
      <c r="G1422" s="2">
        <v>670645.82999999996</v>
      </c>
    </row>
    <row r="1423" spans="1:7" x14ac:dyDescent="0.25">
      <c r="A1423" s="1">
        <v>45078</v>
      </c>
      <c r="B1423" t="s">
        <v>37</v>
      </c>
      <c r="C1423" t="s">
        <v>257</v>
      </c>
      <c r="D1423" s="2">
        <v>25302800.969999999</v>
      </c>
      <c r="E1423" s="2">
        <v>279841781.49000001</v>
      </c>
      <c r="F1423" s="2">
        <v>185459609.15000001</v>
      </c>
      <c r="G1423" s="2">
        <v>2881152.14</v>
      </c>
    </row>
    <row r="1424" spans="1:7" x14ac:dyDescent="0.25">
      <c r="A1424" s="1">
        <v>45078</v>
      </c>
      <c r="B1424" t="s">
        <v>37</v>
      </c>
      <c r="C1424" t="s">
        <v>258</v>
      </c>
      <c r="D1424" s="2">
        <v>13475513.640000001</v>
      </c>
      <c r="E1424" s="2">
        <v>53363431.520000003</v>
      </c>
      <c r="F1424" s="2">
        <v>31316287.02</v>
      </c>
      <c r="G1424" s="2">
        <v>2414335.58</v>
      </c>
    </row>
    <row r="1425" spans="1:7" x14ac:dyDescent="0.25">
      <c r="A1425" s="1">
        <v>45078</v>
      </c>
      <c r="B1425" t="s">
        <v>37</v>
      </c>
      <c r="C1425" t="s">
        <v>259</v>
      </c>
      <c r="D1425" s="2">
        <v>29144301.379999999</v>
      </c>
      <c r="E1425" s="2">
        <v>203485872.83000001</v>
      </c>
      <c r="F1425" s="2">
        <v>142553985.43000001</v>
      </c>
      <c r="G1425" s="2">
        <v>3281657.78</v>
      </c>
    </row>
    <row r="1426" spans="1:7" x14ac:dyDescent="0.25">
      <c r="A1426" s="1">
        <v>45078</v>
      </c>
      <c r="B1426" t="s">
        <v>37</v>
      </c>
      <c r="C1426" t="s">
        <v>260</v>
      </c>
      <c r="D1426" s="2">
        <v>1488950.49</v>
      </c>
      <c r="E1426" s="2">
        <v>10999707.210000001</v>
      </c>
      <c r="F1426" s="2">
        <v>9067799.0500000007</v>
      </c>
      <c r="G1426" s="2">
        <v>163573.81</v>
      </c>
    </row>
    <row r="1427" spans="1:7" x14ac:dyDescent="0.25">
      <c r="A1427" s="1">
        <v>45078</v>
      </c>
      <c r="B1427" t="s">
        <v>37</v>
      </c>
      <c r="C1427" t="s">
        <v>261</v>
      </c>
      <c r="D1427" s="2">
        <v>5214219.5199999996</v>
      </c>
      <c r="E1427" s="2">
        <v>29007859.82</v>
      </c>
      <c r="F1427" s="2">
        <v>22422588.120000001</v>
      </c>
      <c r="G1427" s="2">
        <v>1254626.28</v>
      </c>
    </row>
    <row r="1428" spans="1:7" x14ac:dyDescent="0.25">
      <c r="A1428" s="1">
        <v>45078</v>
      </c>
      <c r="B1428" t="s">
        <v>37</v>
      </c>
      <c r="C1428" t="s">
        <v>262</v>
      </c>
      <c r="D1428" s="2">
        <v>18018894.329999998</v>
      </c>
      <c r="E1428" s="2">
        <v>218774240.80000001</v>
      </c>
      <c r="F1428" s="2">
        <v>147768996.44999999</v>
      </c>
      <c r="G1428" s="2">
        <v>11069635.73</v>
      </c>
    </row>
    <row r="1429" spans="1:7" x14ac:dyDescent="0.25">
      <c r="A1429" s="1">
        <v>45078</v>
      </c>
      <c r="B1429" t="s">
        <v>37</v>
      </c>
      <c r="C1429" t="s">
        <v>263</v>
      </c>
      <c r="D1429" s="2">
        <v>89585775.310000002</v>
      </c>
      <c r="E1429" s="2">
        <v>158795779.53</v>
      </c>
      <c r="F1429" s="2">
        <v>126253490.39</v>
      </c>
      <c r="G1429" s="2">
        <v>3294911.54</v>
      </c>
    </row>
    <row r="1430" spans="1:7" x14ac:dyDescent="0.25">
      <c r="A1430" s="1">
        <v>45078</v>
      </c>
      <c r="B1430" t="s">
        <v>37</v>
      </c>
      <c r="C1430" t="s">
        <v>264</v>
      </c>
      <c r="D1430" s="2">
        <v>47752287.5</v>
      </c>
      <c r="E1430" s="2">
        <v>166282779.63</v>
      </c>
      <c r="F1430" s="2">
        <v>125983344.75</v>
      </c>
      <c r="G1430" s="2">
        <v>2443448.4700000002</v>
      </c>
    </row>
    <row r="1431" spans="1:7" x14ac:dyDescent="0.25">
      <c r="A1431" s="1">
        <v>45078</v>
      </c>
      <c r="B1431" t="s">
        <v>37</v>
      </c>
      <c r="C1431" t="s">
        <v>265</v>
      </c>
      <c r="D1431" s="2">
        <v>73944348.180000007</v>
      </c>
      <c r="E1431" s="2">
        <v>109528912.25</v>
      </c>
      <c r="F1431" s="2">
        <v>83650011.459999993</v>
      </c>
      <c r="G1431" s="2">
        <v>5519941.5300000003</v>
      </c>
    </row>
    <row r="1432" spans="1:7" x14ac:dyDescent="0.25">
      <c r="A1432" s="1">
        <v>45078</v>
      </c>
      <c r="B1432" t="s">
        <v>37</v>
      </c>
      <c r="C1432" t="s">
        <v>266</v>
      </c>
      <c r="D1432" s="2">
        <v>7044597.29</v>
      </c>
      <c r="E1432" s="2">
        <v>5733199.2599999998</v>
      </c>
      <c r="F1432" s="2">
        <v>4375746.5599999996</v>
      </c>
      <c r="G1432" s="2">
        <v>721590.4</v>
      </c>
    </row>
    <row r="1433" spans="1:7" x14ac:dyDescent="0.25">
      <c r="A1433" s="1">
        <v>45078</v>
      </c>
      <c r="B1433" t="s">
        <v>37</v>
      </c>
      <c r="C1433" t="s">
        <v>267</v>
      </c>
      <c r="D1433" s="2">
        <v>7287062.21</v>
      </c>
      <c r="E1433" s="2">
        <v>15240266.41</v>
      </c>
      <c r="F1433" s="2">
        <v>12198312.77</v>
      </c>
      <c r="G1433" s="2">
        <v>136560.51999999999</v>
      </c>
    </row>
    <row r="1434" spans="1:7" x14ac:dyDescent="0.25">
      <c r="A1434" s="1">
        <v>45078</v>
      </c>
      <c r="B1434" t="s">
        <v>37</v>
      </c>
      <c r="C1434" t="s">
        <v>268</v>
      </c>
      <c r="D1434" s="2">
        <v>11060482.09</v>
      </c>
      <c r="E1434" s="2">
        <v>193214150.68000001</v>
      </c>
      <c r="F1434" s="2">
        <v>135422218.68000001</v>
      </c>
      <c r="G1434" s="2">
        <v>3151928.44</v>
      </c>
    </row>
    <row r="1435" spans="1:7" x14ac:dyDescent="0.25">
      <c r="A1435" s="1">
        <v>45078</v>
      </c>
      <c r="B1435" t="s">
        <v>37</v>
      </c>
      <c r="C1435" t="s">
        <v>269</v>
      </c>
      <c r="D1435" s="2">
        <v>7303328.8899999997</v>
      </c>
      <c r="E1435" s="2">
        <v>8252316.8300000001</v>
      </c>
      <c r="F1435" s="2">
        <v>6516510.4800000004</v>
      </c>
      <c r="G1435" s="2">
        <v>435706.61</v>
      </c>
    </row>
    <row r="1436" spans="1:7" x14ac:dyDescent="0.25">
      <c r="A1436" s="1">
        <v>45078</v>
      </c>
      <c r="B1436" t="s">
        <v>37</v>
      </c>
      <c r="C1436" t="s">
        <v>270</v>
      </c>
      <c r="D1436" s="2">
        <v>19501363.68</v>
      </c>
      <c r="E1436" s="2">
        <v>126491165.09999999</v>
      </c>
      <c r="F1436" s="2">
        <v>98799675.849999994</v>
      </c>
      <c r="G1436" s="2">
        <v>1955450.89</v>
      </c>
    </row>
    <row r="1437" spans="1:7" x14ac:dyDescent="0.25">
      <c r="A1437" s="1">
        <v>45078</v>
      </c>
      <c r="B1437" t="s">
        <v>37</v>
      </c>
      <c r="C1437" t="s">
        <v>271</v>
      </c>
      <c r="D1437" s="2">
        <v>71163673.489999995</v>
      </c>
      <c r="E1437" s="2">
        <v>65222976.979999997</v>
      </c>
      <c r="F1437" s="2">
        <v>48040025.390000001</v>
      </c>
      <c r="G1437" s="2">
        <v>143212.01</v>
      </c>
    </row>
    <row r="1438" spans="1:7" x14ac:dyDescent="0.25">
      <c r="A1438" s="1">
        <v>45078</v>
      </c>
      <c r="B1438" t="s">
        <v>37</v>
      </c>
      <c r="C1438" t="s">
        <v>272</v>
      </c>
      <c r="D1438" s="2">
        <v>2570289.9</v>
      </c>
      <c r="E1438" s="2">
        <v>326422.92</v>
      </c>
      <c r="F1438" s="2">
        <v>471537.97</v>
      </c>
      <c r="G1438" s="2">
        <v>9031.0300000000007</v>
      </c>
    </row>
    <row r="1439" spans="1:7" x14ac:dyDescent="0.25">
      <c r="A1439" s="1">
        <v>45078</v>
      </c>
      <c r="B1439" t="s">
        <v>37</v>
      </c>
      <c r="C1439" t="s">
        <v>273</v>
      </c>
      <c r="D1439" s="2">
        <v>1161278.3799999999</v>
      </c>
      <c r="E1439" s="2">
        <v>13796414.66</v>
      </c>
      <c r="F1439" s="2">
        <v>10080268.26</v>
      </c>
      <c r="G1439" s="2">
        <v>437938.74</v>
      </c>
    </row>
    <row r="1440" spans="1:7" x14ac:dyDescent="0.25">
      <c r="A1440" s="1">
        <v>45078</v>
      </c>
      <c r="B1440" t="s">
        <v>37</v>
      </c>
      <c r="C1440" t="s">
        <v>274</v>
      </c>
      <c r="D1440" s="2">
        <v>4629429.6900000004</v>
      </c>
      <c r="E1440" s="2">
        <v>23584351.600000001</v>
      </c>
      <c r="F1440" s="2">
        <v>16736106.939999999</v>
      </c>
      <c r="G1440" s="2">
        <v>613306.74</v>
      </c>
    </row>
    <row r="1441" spans="1:7" x14ac:dyDescent="0.25">
      <c r="A1441" s="1">
        <v>45078</v>
      </c>
      <c r="B1441" t="s">
        <v>37</v>
      </c>
      <c r="C1441" t="s">
        <v>275</v>
      </c>
      <c r="D1441" s="2">
        <v>52214418.07</v>
      </c>
      <c r="E1441" s="2">
        <v>220233313.5</v>
      </c>
      <c r="F1441" s="2">
        <v>151582871.94999999</v>
      </c>
      <c r="G1441" s="2">
        <v>753784.53</v>
      </c>
    </row>
    <row r="1442" spans="1:7" x14ac:dyDescent="0.25">
      <c r="A1442" s="1">
        <v>45078</v>
      </c>
      <c r="B1442" t="s">
        <v>37</v>
      </c>
      <c r="C1442" t="s">
        <v>276</v>
      </c>
      <c r="D1442" s="2">
        <v>509193727.50999999</v>
      </c>
      <c r="E1442" s="2">
        <v>180425927.43000001</v>
      </c>
      <c r="F1442" s="2">
        <v>135739204.75999999</v>
      </c>
      <c r="G1442" s="2">
        <v>2264457.11</v>
      </c>
    </row>
    <row r="1443" spans="1:7" x14ac:dyDescent="0.25">
      <c r="A1443" s="1">
        <v>45078</v>
      </c>
      <c r="B1443" t="s">
        <v>37</v>
      </c>
      <c r="C1443" t="s">
        <v>277</v>
      </c>
      <c r="D1443" s="2">
        <v>3791947.68</v>
      </c>
      <c r="E1443" s="2">
        <v>34686760.369999997</v>
      </c>
      <c r="F1443" s="2">
        <v>27010439.5</v>
      </c>
      <c r="G1443" s="2">
        <v>727878.84</v>
      </c>
    </row>
    <row r="1444" spans="1:7" x14ac:dyDescent="0.25">
      <c r="A1444" s="1">
        <v>45078</v>
      </c>
      <c r="B1444" t="s">
        <v>37</v>
      </c>
      <c r="C1444" t="s">
        <v>278</v>
      </c>
      <c r="D1444" s="2">
        <v>67472561.549999997</v>
      </c>
      <c r="E1444" s="2">
        <v>446597110.37</v>
      </c>
      <c r="F1444" s="2">
        <v>320249041.92000002</v>
      </c>
      <c r="G1444" s="2">
        <v>1718669.2</v>
      </c>
    </row>
    <row r="1445" spans="1:7" x14ac:dyDescent="0.25">
      <c r="A1445" s="1">
        <v>45078</v>
      </c>
      <c r="B1445" t="s">
        <v>37</v>
      </c>
      <c r="C1445" t="s">
        <v>279</v>
      </c>
      <c r="D1445" s="2">
        <v>22223820.449999999</v>
      </c>
      <c r="E1445" s="2">
        <v>66941668.07</v>
      </c>
      <c r="F1445" s="2">
        <v>49381123.119999997</v>
      </c>
      <c r="G1445" s="2">
        <v>517355.55</v>
      </c>
    </row>
    <row r="1446" spans="1:7" x14ac:dyDescent="0.25">
      <c r="A1446" s="1">
        <v>45078</v>
      </c>
      <c r="B1446" t="s">
        <v>37</v>
      </c>
      <c r="C1446" t="s">
        <v>280</v>
      </c>
      <c r="D1446" s="2">
        <v>41331100.329999998</v>
      </c>
      <c r="E1446" s="2">
        <v>227151357.63</v>
      </c>
      <c r="F1446" s="2">
        <v>146332669.71000001</v>
      </c>
      <c r="G1446" s="2">
        <v>3712705.11</v>
      </c>
    </row>
    <row r="1447" spans="1:7" x14ac:dyDescent="0.25">
      <c r="A1447" s="1">
        <v>45078</v>
      </c>
      <c r="B1447" t="s">
        <v>37</v>
      </c>
      <c r="C1447" t="s">
        <v>281</v>
      </c>
      <c r="D1447" s="2">
        <v>19262497.039999999</v>
      </c>
      <c r="E1447" s="2">
        <v>220100286.44999999</v>
      </c>
      <c r="F1447" s="2">
        <v>171660901.28999999</v>
      </c>
      <c r="G1447" s="2">
        <v>176741.74</v>
      </c>
    </row>
    <row r="1448" spans="1:7" x14ac:dyDescent="0.25">
      <c r="A1448" s="1">
        <v>45078</v>
      </c>
      <c r="B1448" t="s">
        <v>37</v>
      </c>
      <c r="C1448" t="s">
        <v>282</v>
      </c>
      <c r="D1448" s="2">
        <v>1619290.94</v>
      </c>
      <c r="E1448" s="2">
        <v>13296771.58</v>
      </c>
      <c r="F1448" s="2">
        <v>11510990.77</v>
      </c>
      <c r="G1448" s="2">
        <v>29874.63</v>
      </c>
    </row>
    <row r="1449" spans="1:7" x14ac:dyDescent="0.25">
      <c r="A1449" s="1">
        <v>45078</v>
      </c>
      <c r="B1449" t="s">
        <v>37</v>
      </c>
      <c r="C1449" t="s">
        <v>283</v>
      </c>
      <c r="D1449" s="2">
        <v>3137274.78</v>
      </c>
      <c r="E1449" s="2">
        <v>16247826.949999999</v>
      </c>
      <c r="F1449" s="2">
        <v>11534766.720000001</v>
      </c>
      <c r="G1449" s="2">
        <v>1169442.04</v>
      </c>
    </row>
    <row r="1450" spans="1:7" x14ac:dyDescent="0.25">
      <c r="A1450" s="1">
        <v>45078</v>
      </c>
      <c r="B1450" t="s">
        <v>37</v>
      </c>
      <c r="C1450" t="s">
        <v>284</v>
      </c>
      <c r="D1450" s="2">
        <v>48089743.18</v>
      </c>
      <c r="E1450" s="2">
        <v>60633905.100000001</v>
      </c>
      <c r="F1450" s="2">
        <v>40801133.229999997</v>
      </c>
      <c r="G1450" s="2">
        <v>806501.04</v>
      </c>
    </row>
    <row r="1451" spans="1:7" x14ac:dyDescent="0.25">
      <c r="A1451" s="1">
        <v>45078</v>
      </c>
      <c r="B1451" t="s">
        <v>37</v>
      </c>
      <c r="C1451" t="s">
        <v>285</v>
      </c>
      <c r="D1451" s="2">
        <v>23006439.25</v>
      </c>
      <c r="E1451" s="2">
        <v>31957221.780000001</v>
      </c>
      <c r="F1451" s="2">
        <v>26955524.550000001</v>
      </c>
      <c r="G1451" s="2">
        <v>527511.86</v>
      </c>
    </row>
    <row r="1452" spans="1:7" x14ac:dyDescent="0.25">
      <c r="A1452" s="1">
        <v>45078</v>
      </c>
      <c r="B1452" t="s">
        <v>37</v>
      </c>
      <c r="C1452" t="s">
        <v>286</v>
      </c>
      <c r="D1452" s="2">
        <v>255426596.66</v>
      </c>
      <c r="E1452" s="2">
        <v>266401679.02000001</v>
      </c>
      <c r="F1452" s="2">
        <v>202574507.38999999</v>
      </c>
      <c r="G1452" s="2">
        <v>11071379.470000001</v>
      </c>
    </row>
    <row r="1453" spans="1:7" x14ac:dyDescent="0.25">
      <c r="A1453" s="1">
        <v>45078</v>
      </c>
      <c r="B1453" t="s">
        <v>37</v>
      </c>
      <c r="C1453" t="s">
        <v>287</v>
      </c>
      <c r="D1453" s="2">
        <v>6775960.4100000001</v>
      </c>
      <c r="E1453" s="2">
        <v>30595875.219999999</v>
      </c>
      <c r="F1453" s="2">
        <v>21642054.989999998</v>
      </c>
      <c r="G1453" s="2">
        <v>1003271.1</v>
      </c>
    </row>
    <row r="1454" spans="1:7" x14ac:dyDescent="0.25">
      <c r="A1454" s="1">
        <v>45078</v>
      </c>
      <c r="B1454" t="s">
        <v>37</v>
      </c>
      <c r="C1454" t="s">
        <v>288</v>
      </c>
      <c r="D1454" s="2">
        <v>33109627.949999999</v>
      </c>
      <c r="E1454" s="2">
        <v>69021348.069999993</v>
      </c>
      <c r="F1454" s="2">
        <v>49246389.460000001</v>
      </c>
      <c r="G1454" s="2">
        <v>1337280.29</v>
      </c>
    </row>
    <row r="1455" spans="1:7" x14ac:dyDescent="0.25">
      <c r="A1455" s="1">
        <v>45078</v>
      </c>
      <c r="B1455" t="s">
        <v>37</v>
      </c>
      <c r="C1455" t="s">
        <v>289</v>
      </c>
      <c r="D1455" s="2">
        <v>4533942.2699999996</v>
      </c>
      <c r="E1455" s="2">
        <v>79187845.269999996</v>
      </c>
      <c r="F1455" s="2">
        <v>63435690.219999999</v>
      </c>
      <c r="G1455" s="2">
        <v>2886485.63</v>
      </c>
    </row>
    <row r="1456" spans="1:7" x14ac:dyDescent="0.25">
      <c r="A1456" s="1">
        <v>45078</v>
      </c>
      <c r="B1456" t="s">
        <v>37</v>
      </c>
      <c r="C1456" t="s">
        <v>290</v>
      </c>
      <c r="D1456" s="2">
        <v>8328850.8300000001</v>
      </c>
      <c r="E1456" s="2">
        <v>35086858.630000003</v>
      </c>
      <c r="F1456" s="2">
        <v>27122240.780000001</v>
      </c>
      <c r="G1456" s="2">
        <v>1650659.65</v>
      </c>
    </row>
    <row r="1457" spans="1:7" x14ac:dyDescent="0.25">
      <c r="A1457" s="1">
        <v>45078</v>
      </c>
      <c r="B1457" t="s">
        <v>37</v>
      </c>
      <c r="C1457" t="s">
        <v>291</v>
      </c>
      <c r="D1457" s="2">
        <v>36445423.630000003</v>
      </c>
      <c r="E1457" s="2">
        <v>113305676.70999999</v>
      </c>
      <c r="F1457" s="2">
        <v>90394084.640000001</v>
      </c>
      <c r="G1457" s="2">
        <v>6535700.0800000001</v>
      </c>
    </row>
    <row r="1458" spans="1:7" x14ac:dyDescent="0.25">
      <c r="A1458" s="1">
        <v>45078</v>
      </c>
      <c r="B1458" t="s">
        <v>19</v>
      </c>
      <c r="C1458" t="s">
        <v>292</v>
      </c>
      <c r="D1458" s="2">
        <v>58878225.439999998</v>
      </c>
      <c r="E1458" s="2">
        <v>19012164.760000002</v>
      </c>
      <c r="F1458" s="2">
        <v>15940193.300000001</v>
      </c>
      <c r="G1458" s="2">
        <v>18570250.949999999</v>
      </c>
    </row>
    <row r="1459" spans="1:7" x14ac:dyDescent="0.25">
      <c r="A1459" s="1">
        <v>45108</v>
      </c>
      <c r="B1459" t="s">
        <v>7</v>
      </c>
      <c r="C1459" t="s">
        <v>8</v>
      </c>
      <c r="D1459" s="2">
        <v>158321476.08000001</v>
      </c>
      <c r="E1459" s="2">
        <v>331591044.69999999</v>
      </c>
      <c r="F1459" s="2">
        <v>408303674.06</v>
      </c>
      <c r="G1459" s="2">
        <v>840460.29</v>
      </c>
    </row>
    <row r="1460" spans="1:7" x14ac:dyDescent="0.25">
      <c r="A1460" s="1">
        <v>45108</v>
      </c>
      <c r="B1460" t="s">
        <v>9</v>
      </c>
      <c r="C1460" t="s">
        <v>10</v>
      </c>
      <c r="D1460" s="2">
        <v>2388358.52</v>
      </c>
      <c r="E1460" s="2">
        <v>3230363.96</v>
      </c>
      <c r="F1460" s="2">
        <v>3526947.45</v>
      </c>
      <c r="G1460" s="2">
        <v>1222662.71</v>
      </c>
    </row>
    <row r="1461" spans="1:7" x14ac:dyDescent="0.25">
      <c r="A1461" s="1">
        <v>45108</v>
      </c>
      <c r="B1461" t="s">
        <v>11</v>
      </c>
      <c r="C1461" t="s">
        <v>12</v>
      </c>
      <c r="D1461" s="2">
        <v>120147619.91</v>
      </c>
      <c r="E1461" s="2">
        <v>41160072.840000004</v>
      </c>
      <c r="F1461" s="2">
        <v>48934828.219999999</v>
      </c>
      <c r="G1461" s="2">
        <v>28422.43</v>
      </c>
    </row>
    <row r="1462" spans="1:7" x14ac:dyDescent="0.25">
      <c r="A1462" s="1">
        <v>45108</v>
      </c>
      <c r="B1462" t="s">
        <v>13</v>
      </c>
      <c r="C1462" t="s">
        <v>14</v>
      </c>
      <c r="D1462" s="2">
        <v>11012413.34</v>
      </c>
      <c r="E1462" s="2">
        <v>572092668.69000006</v>
      </c>
      <c r="F1462" s="2">
        <v>575577982.42999995</v>
      </c>
      <c r="G1462" s="2">
        <v>118456.79</v>
      </c>
    </row>
    <row r="1463" spans="1:7" x14ac:dyDescent="0.25">
      <c r="A1463" s="1">
        <v>45108</v>
      </c>
      <c r="B1463" t="s">
        <v>13</v>
      </c>
      <c r="C1463" t="s">
        <v>15</v>
      </c>
      <c r="D1463" s="2">
        <v>2914823.99</v>
      </c>
      <c r="E1463" s="2">
        <v>401123860.12</v>
      </c>
      <c r="F1463" s="2">
        <v>407876777.37</v>
      </c>
      <c r="G1463" s="2">
        <v>93262025.260000005</v>
      </c>
    </row>
    <row r="1464" spans="1:7" x14ac:dyDescent="0.25">
      <c r="A1464" s="1">
        <v>45108</v>
      </c>
      <c r="B1464" t="s">
        <v>16</v>
      </c>
      <c r="C1464" t="s">
        <v>17</v>
      </c>
      <c r="D1464" s="2">
        <v>9882025.7799999993</v>
      </c>
      <c r="E1464" s="2">
        <v>25656576.890000001</v>
      </c>
      <c r="F1464" s="2">
        <v>27017940.010000002</v>
      </c>
      <c r="G1464" s="2">
        <v>1450</v>
      </c>
    </row>
    <row r="1465" spans="1:7" x14ac:dyDescent="0.25">
      <c r="A1465" s="1">
        <v>45108</v>
      </c>
      <c r="B1465" t="s">
        <v>11</v>
      </c>
      <c r="C1465" t="s">
        <v>18</v>
      </c>
      <c r="D1465" s="2">
        <v>759876.57</v>
      </c>
      <c r="E1465" s="2">
        <v>13075360.16</v>
      </c>
      <c r="F1465" s="2">
        <v>15262430.550000001</v>
      </c>
      <c r="G1465" s="2">
        <v>301105.09999999998</v>
      </c>
    </row>
    <row r="1466" spans="1:7" x14ac:dyDescent="0.25">
      <c r="A1466" s="1">
        <v>45108</v>
      </c>
      <c r="B1466" t="s">
        <v>19</v>
      </c>
      <c r="C1466" t="s">
        <v>20</v>
      </c>
      <c r="D1466" s="2">
        <v>7414654.9400000004</v>
      </c>
      <c r="E1466" s="2">
        <v>43314980.670000002</v>
      </c>
      <c r="F1466" s="2">
        <v>48691736.130000003</v>
      </c>
      <c r="G1466" s="2">
        <v>943717.05</v>
      </c>
    </row>
    <row r="1467" spans="1:7" x14ac:dyDescent="0.25">
      <c r="A1467" s="1">
        <v>45108</v>
      </c>
      <c r="B1467" t="s">
        <v>16</v>
      </c>
      <c r="C1467" t="s">
        <v>21</v>
      </c>
      <c r="D1467" s="2">
        <v>69465291.659999996</v>
      </c>
      <c r="E1467" s="2">
        <v>60403953.18</v>
      </c>
      <c r="F1467" s="2">
        <v>69015108.969999999</v>
      </c>
      <c r="G1467" s="2">
        <v>253202.55</v>
      </c>
    </row>
    <row r="1468" spans="1:7" x14ac:dyDescent="0.25">
      <c r="A1468" s="1">
        <v>45108</v>
      </c>
      <c r="B1468" t="s">
        <v>22</v>
      </c>
      <c r="C1468" t="s">
        <v>23</v>
      </c>
      <c r="D1468" s="2">
        <v>24753268.649999999</v>
      </c>
      <c r="E1468" s="2">
        <v>51750208.82</v>
      </c>
      <c r="F1468" s="2">
        <v>52358671</v>
      </c>
      <c r="G1468" s="2">
        <v>101561.64</v>
      </c>
    </row>
    <row r="1469" spans="1:7" x14ac:dyDescent="0.25">
      <c r="A1469" s="1">
        <v>45108</v>
      </c>
      <c r="B1469" t="s">
        <v>24</v>
      </c>
      <c r="C1469" t="s">
        <v>25</v>
      </c>
      <c r="D1469" s="2">
        <v>1063310132.62</v>
      </c>
      <c r="E1469" s="2">
        <v>210466513.88</v>
      </c>
      <c r="F1469" s="2">
        <v>400432234.69999999</v>
      </c>
      <c r="G1469" s="2">
        <v>12293649.609999999</v>
      </c>
    </row>
    <row r="1470" spans="1:7" x14ac:dyDescent="0.25">
      <c r="A1470" s="1">
        <v>45108</v>
      </c>
      <c r="B1470" t="s">
        <v>13</v>
      </c>
      <c r="C1470" t="s">
        <v>26</v>
      </c>
      <c r="D1470" s="2">
        <v>1842671637.1400001</v>
      </c>
      <c r="E1470" s="2">
        <v>752979799.97000003</v>
      </c>
      <c r="F1470" s="2">
        <v>760328811.90999997</v>
      </c>
      <c r="G1470" s="2">
        <v>680125.26</v>
      </c>
    </row>
    <row r="1471" spans="1:7" x14ac:dyDescent="0.25">
      <c r="A1471" s="1">
        <v>45108</v>
      </c>
      <c r="B1471" t="s">
        <v>27</v>
      </c>
      <c r="C1471" t="s">
        <v>28</v>
      </c>
      <c r="D1471" s="2">
        <v>8849570.6199999992</v>
      </c>
      <c r="E1471" s="2">
        <v>44576305.340000004</v>
      </c>
      <c r="F1471" s="2">
        <v>52224254.829999998</v>
      </c>
      <c r="G1471" s="2">
        <v>985088.16</v>
      </c>
    </row>
    <row r="1472" spans="1:7" x14ac:dyDescent="0.25">
      <c r="A1472" s="1">
        <v>45108</v>
      </c>
      <c r="B1472" t="s">
        <v>29</v>
      </c>
      <c r="C1472" t="s">
        <v>30</v>
      </c>
      <c r="D1472" s="2">
        <v>3591300.73</v>
      </c>
      <c r="E1472" s="2">
        <v>36132393.299999997</v>
      </c>
      <c r="F1472" s="2">
        <v>46324996.810000002</v>
      </c>
      <c r="G1472" s="2">
        <v>2737511.1</v>
      </c>
    </row>
    <row r="1473" spans="1:7" x14ac:dyDescent="0.25">
      <c r="A1473" s="1">
        <v>45108</v>
      </c>
      <c r="B1473" t="s">
        <v>31</v>
      </c>
      <c r="C1473" t="s">
        <v>32</v>
      </c>
      <c r="D1473" s="2">
        <v>94200</v>
      </c>
      <c r="E1473" s="2">
        <v>258989.86</v>
      </c>
      <c r="F1473" s="2">
        <v>261141.39</v>
      </c>
      <c r="G1473">
        <v>0</v>
      </c>
    </row>
    <row r="1474" spans="1:7" x14ac:dyDescent="0.25">
      <c r="A1474" s="1">
        <v>45108</v>
      </c>
      <c r="B1474" t="s">
        <v>33</v>
      </c>
      <c r="C1474" t="s">
        <v>34</v>
      </c>
      <c r="D1474" s="2">
        <v>337946491.57999998</v>
      </c>
      <c r="E1474" s="2">
        <v>323497781.47000003</v>
      </c>
      <c r="F1474" s="2">
        <v>320806479.5</v>
      </c>
      <c r="G1474" s="2">
        <v>881202.92</v>
      </c>
    </row>
    <row r="1475" spans="1:7" x14ac:dyDescent="0.25">
      <c r="A1475" s="1">
        <v>45108</v>
      </c>
      <c r="B1475" t="s">
        <v>29</v>
      </c>
      <c r="C1475" t="s">
        <v>35</v>
      </c>
      <c r="D1475" s="2">
        <v>-772474.58</v>
      </c>
      <c r="E1475" s="2">
        <v>6995555.1699999999</v>
      </c>
      <c r="F1475" s="2">
        <v>8627740.4000000004</v>
      </c>
      <c r="G1475" s="2">
        <v>9361660.1199999992</v>
      </c>
    </row>
    <row r="1476" spans="1:7" x14ac:dyDescent="0.25">
      <c r="A1476" s="1">
        <v>45108</v>
      </c>
      <c r="B1476" t="s">
        <v>29</v>
      </c>
      <c r="C1476" t="s">
        <v>36</v>
      </c>
      <c r="D1476" s="2">
        <v>294132</v>
      </c>
      <c r="E1476" s="2">
        <v>612738.39</v>
      </c>
      <c r="F1476" s="2">
        <v>668746.31000000006</v>
      </c>
      <c r="G1476">
        <v>0</v>
      </c>
    </row>
    <row r="1477" spans="1:7" x14ac:dyDescent="0.25">
      <c r="A1477" s="1">
        <v>45108</v>
      </c>
      <c r="B1477" t="s">
        <v>37</v>
      </c>
      <c r="C1477" t="s">
        <v>38</v>
      </c>
      <c r="D1477" s="2">
        <v>5864045.71</v>
      </c>
      <c r="E1477" s="2">
        <v>36214547.609999999</v>
      </c>
      <c r="F1477" s="2">
        <v>41605552.280000001</v>
      </c>
      <c r="G1477" s="2">
        <v>383031.49</v>
      </c>
    </row>
    <row r="1478" spans="1:7" x14ac:dyDescent="0.25">
      <c r="A1478" s="1">
        <v>45108</v>
      </c>
      <c r="B1478" t="s">
        <v>37</v>
      </c>
      <c r="C1478" t="s">
        <v>39</v>
      </c>
      <c r="D1478" s="2">
        <v>1155033.07</v>
      </c>
      <c r="E1478" s="2">
        <v>45109840.899999999</v>
      </c>
      <c r="F1478" s="2">
        <v>54047469.060000002</v>
      </c>
      <c r="G1478" s="2">
        <v>676101.4</v>
      </c>
    </row>
    <row r="1479" spans="1:7" x14ac:dyDescent="0.25">
      <c r="A1479" s="1">
        <v>45108</v>
      </c>
      <c r="B1479" t="s">
        <v>9</v>
      </c>
      <c r="C1479" t="s">
        <v>40</v>
      </c>
      <c r="D1479" s="2">
        <v>4923292.8899999997</v>
      </c>
      <c r="E1479" s="2">
        <v>5137879.2699999996</v>
      </c>
      <c r="F1479" s="2">
        <v>5472877.3099999996</v>
      </c>
      <c r="G1479" s="2">
        <v>59201.13</v>
      </c>
    </row>
    <row r="1480" spans="1:7" x14ac:dyDescent="0.25">
      <c r="A1480" s="1">
        <v>45108</v>
      </c>
      <c r="B1480" t="s">
        <v>37</v>
      </c>
      <c r="C1480" t="s">
        <v>41</v>
      </c>
      <c r="D1480" s="2">
        <v>10843845.6</v>
      </c>
      <c r="E1480" s="2">
        <v>60828278.009999998</v>
      </c>
      <c r="F1480" s="2">
        <v>78787775.769999996</v>
      </c>
      <c r="G1480" s="2">
        <v>1282166.27</v>
      </c>
    </row>
    <row r="1481" spans="1:7" x14ac:dyDescent="0.25">
      <c r="A1481" s="1">
        <v>45108</v>
      </c>
      <c r="B1481" t="s">
        <v>29</v>
      </c>
      <c r="C1481" t="s">
        <v>42</v>
      </c>
      <c r="D1481" s="2">
        <v>2520197795.6999998</v>
      </c>
      <c r="E1481" s="2">
        <v>2265624667.3899999</v>
      </c>
      <c r="F1481" s="2">
        <v>2960270070.1999998</v>
      </c>
      <c r="G1481" s="2">
        <v>66423222.030000001</v>
      </c>
    </row>
    <row r="1482" spans="1:7" x14ac:dyDescent="0.25">
      <c r="A1482" s="1">
        <v>45108</v>
      </c>
      <c r="B1482" t="s">
        <v>29</v>
      </c>
      <c r="C1482" t="s">
        <v>43</v>
      </c>
      <c r="D1482" s="2">
        <v>214026799.46000001</v>
      </c>
      <c r="E1482" s="2">
        <v>2451864666.8200002</v>
      </c>
      <c r="F1482" s="2">
        <v>3232938903.1300001</v>
      </c>
      <c r="G1482" s="2">
        <v>35244544.57</v>
      </c>
    </row>
    <row r="1483" spans="1:7" x14ac:dyDescent="0.25">
      <c r="A1483" s="1">
        <v>45108</v>
      </c>
      <c r="B1483" t="s">
        <v>29</v>
      </c>
      <c r="C1483" t="s">
        <v>44</v>
      </c>
      <c r="D1483" s="2">
        <v>431812299.79000002</v>
      </c>
      <c r="E1483" s="2">
        <v>3993101153.1799998</v>
      </c>
      <c r="F1483" s="2">
        <v>5582251670.4700003</v>
      </c>
      <c r="G1483" s="2">
        <v>293783130.26999998</v>
      </c>
    </row>
    <row r="1484" spans="1:7" x14ac:dyDescent="0.25">
      <c r="A1484" s="1">
        <v>45108</v>
      </c>
      <c r="B1484" t="s">
        <v>45</v>
      </c>
      <c r="C1484" t="s">
        <v>46</v>
      </c>
      <c r="D1484" s="2">
        <v>884016.26</v>
      </c>
      <c r="E1484" s="2">
        <v>16335170.869999999</v>
      </c>
      <c r="F1484" s="2">
        <v>16807324.02</v>
      </c>
      <c r="G1484" s="2">
        <v>645403.09</v>
      </c>
    </row>
    <row r="1485" spans="1:7" x14ac:dyDescent="0.25">
      <c r="A1485" s="1">
        <v>45108</v>
      </c>
      <c r="B1485" t="s">
        <v>9</v>
      </c>
      <c r="C1485" t="s">
        <v>47</v>
      </c>
      <c r="D1485" s="2">
        <v>12278331.24</v>
      </c>
      <c r="E1485" s="2">
        <v>88588195.930000007</v>
      </c>
      <c r="F1485" s="2">
        <v>103998506.61</v>
      </c>
      <c r="G1485" s="2">
        <v>3236764.7</v>
      </c>
    </row>
    <row r="1486" spans="1:7" x14ac:dyDescent="0.25">
      <c r="A1486" s="1">
        <v>45108</v>
      </c>
      <c r="B1486" t="s">
        <v>48</v>
      </c>
      <c r="C1486" t="s">
        <v>49</v>
      </c>
      <c r="D1486" s="2">
        <v>174587527.72999999</v>
      </c>
      <c r="E1486" s="2">
        <v>95670251.760000005</v>
      </c>
      <c r="F1486" s="2">
        <v>104159563.31</v>
      </c>
      <c r="G1486" s="2">
        <v>5021522.74</v>
      </c>
    </row>
    <row r="1487" spans="1:7" x14ac:dyDescent="0.25">
      <c r="A1487" s="1">
        <v>45108</v>
      </c>
      <c r="B1487" t="s">
        <v>50</v>
      </c>
      <c r="C1487" t="s">
        <v>51</v>
      </c>
      <c r="D1487" s="2">
        <v>38000363.759999998</v>
      </c>
      <c r="E1487" s="2">
        <v>60293445.979999997</v>
      </c>
      <c r="F1487" s="2">
        <v>69079107.040000007</v>
      </c>
      <c r="G1487" s="2">
        <v>128169643.48999999</v>
      </c>
    </row>
    <row r="1488" spans="1:7" x14ac:dyDescent="0.25">
      <c r="A1488" s="1">
        <v>45108</v>
      </c>
      <c r="B1488" t="s">
        <v>13</v>
      </c>
      <c r="C1488" t="s">
        <v>52</v>
      </c>
      <c r="D1488" s="2">
        <v>114369337.98999999</v>
      </c>
      <c r="E1488" s="2">
        <v>33066861.68</v>
      </c>
      <c r="F1488" s="2">
        <v>45944377.039999999</v>
      </c>
      <c r="G1488" s="2">
        <v>4034713.52</v>
      </c>
    </row>
    <row r="1489" spans="1:7" x14ac:dyDescent="0.25">
      <c r="A1489" s="1">
        <v>45108</v>
      </c>
      <c r="B1489" t="s">
        <v>53</v>
      </c>
      <c r="C1489" t="s">
        <v>54</v>
      </c>
      <c r="D1489" s="2">
        <v>399125478.55000001</v>
      </c>
      <c r="E1489" s="2">
        <v>81409624.390000001</v>
      </c>
      <c r="F1489" s="2">
        <v>206395595.11000001</v>
      </c>
      <c r="G1489" s="2">
        <v>3059901.53</v>
      </c>
    </row>
    <row r="1490" spans="1:7" x14ac:dyDescent="0.25">
      <c r="A1490" s="1">
        <v>45108</v>
      </c>
      <c r="B1490" t="s">
        <v>31</v>
      </c>
      <c r="C1490" t="s">
        <v>55</v>
      </c>
      <c r="D1490" s="2">
        <v>407892.11</v>
      </c>
      <c r="E1490" s="2">
        <v>4756612.5999999996</v>
      </c>
      <c r="F1490" s="2">
        <v>5008714.3499999996</v>
      </c>
      <c r="G1490" s="2">
        <v>2072.9299999999998</v>
      </c>
    </row>
    <row r="1491" spans="1:7" x14ac:dyDescent="0.25">
      <c r="A1491" s="1">
        <v>45108</v>
      </c>
      <c r="B1491" t="s">
        <v>9</v>
      </c>
      <c r="C1491" t="s">
        <v>56</v>
      </c>
      <c r="D1491" s="2">
        <v>1125668915.4100001</v>
      </c>
      <c r="E1491" s="2">
        <v>224081910.27000001</v>
      </c>
      <c r="F1491" s="2">
        <v>194091379.91</v>
      </c>
      <c r="G1491" s="2">
        <v>66571604.380000003</v>
      </c>
    </row>
    <row r="1492" spans="1:7" x14ac:dyDescent="0.25">
      <c r="A1492" s="1">
        <v>45108</v>
      </c>
      <c r="B1492" t="s">
        <v>57</v>
      </c>
      <c r="C1492" t="s">
        <v>58</v>
      </c>
      <c r="D1492" s="2">
        <v>2523743.34</v>
      </c>
      <c r="E1492" s="2">
        <v>100384350.93000001</v>
      </c>
      <c r="F1492" s="2">
        <v>122521253.05</v>
      </c>
      <c r="G1492" s="2">
        <v>4885421.33</v>
      </c>
    </row>
    <row r="1493" spans="1:7" x14ac:dyDescent="0.25">
      <c r="A1493" s="1">
        <v>45108</v>
      </c>
      <c r="B1493" t="s">
        <v>19</v>
      </c>
      <c r="C1493" t="s">
        <v>59</v>
      </c>
      <c r="D1493" s="2">
        <v>1009703569.7</v>
      </c>
      <c r="E1493" s="2">
        <v>1124087989.3800001</v>
      </c>
      <c r="F1493" s="2">
        <v>1098852329.1800001</v>
      </c>
      <c r="G1493" s="2">
        <v>288805276.57999998</v>
      </c>
    </row>
    <row r="1494" spans="1:7" x14ac:dyDescent="0.25">
      <c r="A1494" s="1">
        <v>45108</v>
      </c>
      <c r="B1494" t="s">
        <v>50</v>
      </c>
      <c r="C1494" t="s">
        <v>60</v>
      </c>
      <c r="D1494" s="2">
        <v>58527739.189999998</v>
      </c>
      <c r="E1494" s="2">
        <v>116176324.11</v>
      </c>
      <c r="F1494" s="2">
        <v>100161249.3</v>
      </c>
      <c r="G1494" s="2">
        <v>9962570.0899999999</v>
      </c>
    </row>
    <row r="1495" spans="1:7" x14ac:dyDescent="0.25">
      <c r="A1495" s="1">
        <v>45108</v>
      </c>
      <c r="B1495" t="s">
        <v>61</v>
      </c>
      <c r="C1495" t="s">
        <v>62</v>
      </c>
      <c r="D1495" s="2">
        <v>16092041.27</v>
      </c>
      <c r="E1495" s="2">
        <v>46077431.869999997</v>
      </c>
      <c r="F1495" s="2">
        <v>86118899.730000004</v>
      </c>
      <c r="G1495" s="2">
        <v>1841739.59</v>
      </c>
    </row>
    <row r="1496" spans="1:7" x14ac:dyDescent="0.25">
      <c r="A1496" s="1">
        <v>45108</v>
      </c>
      <c r="B1496" t="s">
        <v>63</v>
      </c>
      <c r="C1496" t="s">
        <v>64</v>
      </c>
      <c r="D1496" s="2">
        <v>9814962.3699999992</v>
      </c>
      <c r="E1496" s="2">
        <v>267943784.88999999</v>
      </c>
      <c r="F1496" s="2">
        <v>350224611.60000002</v>
      </c>
      <c r="G1496" s="2">
        <v>13415720.039999999</v>
      </c>
    </row>
    <row r="1497" spans="1:7" x14ac:dyDescent="0.25">
      <c r="A1497" s="1">
        <v>45108</v>
      </c>
      <c r="B1497" t="s">
        <v>37</v>
      </c>
      <c r="C1497" t="s">
        <v>65</v>
      </c>
      <c r="D1497" s="2">
        <v>180665733.90000001</v>
      </c>
      <c r="E1497" s="2">
        <v>774738153.54999995</v>
      </c>
      <c r="F1497" s="2">
        <v>921388688.25999999</v>
      </c>
      <c r="G1497" s="2">
        <v>17090289.91</v>
      </c>
    </row>
    <row r="1498" spans="1:7" x14ac:dyDescent="0.25">
      <c r="A1498" s="1">
        <v>45108</v>
      </c>
      <c r="B1498" t="s">
        <v>13</v>
      </c>
      <c r="C1498" t="s">
        <v>66</v>
      </c>
      <c r="D1498" s="2">
        <v>443774.98</v>
      </c>
      <c r="E1498" s="2">
        <v>7523133.6600000001</v>
      </c>
      <c r="F1498" s="2">
        <v>9941329.6199999992</v>
      </c>
      <c r="G1498" s="2">
        <v>29250</v>
      </c>
    </row>
    <row r="1499" spans="1:7" x14ac:dyDescent="0.25">
      <c r="A1499" s="1">
        <v>45108</v>
      </c>
      <c r="B1499" t="s">
        <v>48</v>
      </c>
      <c r="C1499" t="s">
        <v>67</v>
      </c>
      <c r="D1499" s="2">
        <v>44966225.420000002</v>
      </c>
      <c r="E1499" s="2">
        <v>47172026.600000001</v>
      </c>
      <c r="F1499" s="2">
        <v>51446798.880000003</v>
      </c>
      <c r="G1499" s="2">
        <v>811182.46</v>
      </c>
    </row>
    <row r="1500" spans="1:7" x14ac:dyDescent="0.25">
      <c r="A1500" s="1">
        <v>45108</v>
      </c>
      <c r="B1500" t="s">
        <v>9</v>
      </c>
      <c r="C1500" t="s">
        <v>68</v>
      </c>
      <c r="D1500" s="2">
        <v>1291144.78</v>
      </c>
      <c r="E1500" s="2">
        <v>1288893.28</v>
      </c>
      <c r="F1500" s="2">
        <v>1288893.28</v>
      </c>
      <c r="G1500">
        <v>0</v>
      </c>
    </row>
    <row r="1501" spans="1:7" x14ac:dyDescent="0.25">
      <c r="A1501" s="1">
        <v>45108</v>
      </c>
      <c r="B1501" t="s">
        <v>69</v>
      </c>
      <c r="C1501" t="s">
        <v>70</v>
      </c>
      <c r="D1501" s="2">
        <v>110294.99</v>
      </c>
      <c r="E1501" s="2">
        <v>1130997.26</v>
      </c>
      <c r="F1501" s="2">
        <v>1279582.29</v>
      </c>
      <c r="G1501">
        <v>0</v>
      </c>
    </row>
    <row r="1502" spans="1:7" x14ac:dyDescent="0.25">
      <c r="A1502" s="1">
        <v>45108</v>
      </c>
      <c r="B1502" t="s">
        <v>24</v>
      </c>
      <c r="C1502" t="s">
        <v>71</v>
      </c>
      <c r="D1502" s="2">
        <v>165041.67000000001</v>
      </c>
      <c r="E1502" s="2">
        <v>8570917.8000000007</v>
      </c>
      <c r="F1502" s="2">
        <v>10601118.460000001</v>
      </c>
      <c r="G1502" s="2">
        <v>426530.27</v>
      </c>
    </row>
    <row r="1503" spans="1:7" x14ac:dyDescent="0.25">
      <c r="A1503" s="1">
        <v>45108</v>
      </c>
      <c r="B1503" t="s">
        <v>24</v>
      </c>
      <c r="C1503" t="s">
        <v>72</v>
      </c>
      <c r="D1503" s="2">
        <v>361216.08</v>
      </c>
      <c r="E1503" s="2">
        <v>4009852.89</v>
      </c>
      <c r="F1503" s="2">
        <v>5006112.45</v>
      </c>
      <c r="G1503">
        <v>651.20000000000005</v>
      </c>
    </row>
    <row r="1504" spans="1:7" x14ac:dyDescent="0.25">
      <c r="A1504" s="1">
        <v>45108</v>
      </c>
      <c r="B1504" t="s">
        <v>37</v>
      </c>
      <c r="C1504" t="s">
        <v>73</v>
      </c>
      <c r="D1504" s="2">
        <v>156060014.94999999</v>
      </c>
      <c r="E1504" s="2">
        <v>534845511.35000002</v>
      </c>
      <c r="F1504" s="2">
        <v>542096162.77999997</v>
      </c>
      <c r="G1504" s="2">
        <v>8856322.3800000008</v>
      </c>
    </row>
    <row r="1505" spans="1:7" x14ac:dyDescent="0.25">
      <c r="A1505" s="1">
        <v>45108</v>
      </c>
      <c r="B1505" t="s">
        <v>24</v>
      </c>
      <c r="C1505" t="s">
        <v>74</v>
      </c>
      <c r="D1505" s="2">
        <v>160536.69</v>
      </c>
      <c r="E1505" s="2">
        <v>1426584.07</v>
      </c>
      <c r="F1505" s="2">
        <v>1630343.76</v>
      </c>
      <c r="G1505">
        <v>830.02</v>
      </c>
    </row>
    <row r="1506" spans="1:7" x14ac:dyDescent="0.25">
      <c r="A1506" s="1">
        <v>45108</v>
      </c>
      <c r="B1506" t="s">
        <v>75</v>
      </c>
      <c r="C1506" t="s">
        <v>76</v>
      </c>
      <c r="D1506" s="2">
        <v>1909782.73</v>
      </c>
      <c r="E1506" s="2">
        <v>7550791.5499999998</v>
      </c>
      <c r="F1506" s="2">
        <v>8749193.1099999994</v>
      </c>
      <c r="G1506" s="2">
        <v>414730.4</v>
      </c>
    </row>
    <row r="1507" spans="1:7" x14ac:dyDescent="0.25">
      <c r="A1507" s="1">
        <v>45108</v>
      </c>
      <c r="B1507" t="s">
        <v>77</v>
      </c>
      <c r="C1507" t="s">
        <v>78</v>
      </c>
      <c r="D1507" s="2">
        <v>477315953.17000002</v>
      </c>
      <c r="E1507" s="2">
        <v>210100373.88999999</v>
      </c>
      <c r="F1507" s="2">
        <v>287232047.49000001</v>
      </c>
      <c r="G1507" s="2">
        <v>9913952.0800000001</v>
      </c>
    </row>
    <row r="1508" spans="1:7" x14ac:dyDescent="0.25">
      <c r="A1508" s="1">
        <v>45108</v>
      </c>
      <c r="B1508" t="s">
        <v>37</v>
      </c>
      <c r="C1508" t="s">
        <v>79</v>
      </c>
      <c r="D1508" s="2">
        <v>497712.03</v>
      </c>
      <c r="E1508" s="2">
        <v>10794852.58</v>
      </c>
      <c r="F1508" s="2">
        <v>13969178.82</v>
      </c>
      <c r="G1508" s="2">
        <v>469117.64</v>
      </c>
    </row>
    <row r="1509" spans="1:7" x14ac:dyDescent="0.25">
      <c r="A1509" s="1">
        <v>45108</v>
      </c>
      <c r="B1509" t="s">
        <v>80</v>
      </c>
      <c r="C1509" t="s">
        <v>81</v>
      </c>
      <c r="D1509" s="2">
        <v>744111.28</v>
      </c>
      <c r="E1509" s="2">
        <v>7702676.0499999998</v>
      </c>
      <c r="F1509" s="2">
        <v>10275118.359999999</v>
      </c>
      <c r="G1509" s="2">
        <v>70405.72</v>
      </c>
    </row>
    <row r="1510" spans="1:7" x14ac:dyDescent="0.25">
      <c r="A1510" s="1">
        <v>45108</v>
      </c>
      <c r="B1510" t="s">
        <v>24</v>
      </c>
      <c r="C1510" t="s">
        <v>82</v>
      </c>
      <c r="D1510" s="2">
        <v>22569579.289999999</v>
      </c>
      <c r="E1510" s="2">
        <v>8452772.2799999993</v>
      </c>
      <c r="F1510" s="2">
        <v>9843233.2200000007</v>
      </c>
      <c r="G1510" s="2">
        <v>673992.11</v>
      </c>
    </row>
    <row r="1511" spans="1:7" x14ac:dyDescent="0.25">
      <c r="A1511" s="1">
        <v>45108</v>
      </c>
      <c r="B1511" t="s">
        <v>16</v>
      </c>
      <c r="C1511" t="s">
        <v>83</v>
      </c>
      <c r="D1511" s="2">
        <v>122144903.83</v>
      </c>
      <c r="E1511" s="2">
        <v>122856733.23999999</v>
      </c>
      <c r="F1511" s="2">
        <v>181315699.25999999</v>
      </c>
      <c r="G1511">
        <v>0</v>
      </c>
    </row>
    <row r="1512" spans="1:7" x14ac:dyDescent="0.25">
      <c r="A1512" s="1">
        <v>45108</v>
      </c>
      <c r="B1512" t="s">
        <v>84</v>
      </c>
      <c r="C1512" t="s">
        <v>85</v>
      </c>
      <c r="D1512" s="2">
        <v>158463692.47999999</v>
      </c>
      <c r="E1512" s="2">
        <v>48422446.899999999</v>
      </c>
      <c r="F1512" s="2">
        <v>56037546.200000003</v>
      </c>
      <c r="G1512" s="2">
        <v>2783491.55</v>
      </c>
    </row>
    <row r="1513" spans="1:7" x14ac:dyDescent="0.25">
      <c r="A1513" s="1">
        <v>45108</v>
      </c>
      <c r="B1513" t="s">
        <v>84</v>
      </c>
      <c r="C1513" t="s">
        <v>86</v>
      </c>
      <c r="D1513" s="2">
        <v>127443.24</v>
      </c>
      <c r="E1513" s="2">
        <v>145192.04999999999</v>
      </c>
      <c r="F1513" s="2">
        <v>154879.21</v>
      </c>
      <c r="G1513">
        <v>0</v>
      </c>
    </row>
    <row r="1514" spans="1:7" x14ac:dyDescent="0.25">
      <c r="A1514" s="1">
        <v>45108</v>
      </c>
      <c r="B1514" t="s">
        <v>16</v>
      </c>
      <c r="C1514" t="s">
        <v>87</v>
      </c>
      <c r="D1514" s="2">
        <v>1397860151.1900001</v>
      </c>
      <c r="E1514" s="2">
        <v>848657152.69000006</v>
      </c>
      <c r="F1514" s="2">
        <v>911788500.00999999</v>
      </c>
      <c r="G1514" s="2">
        <v>87487592.269999996</v>
      </c>
    </row>
    <row r="1515" spans="1:7" x14ac:dyDescent="0.25">
      <c r="A1515" s="1">
        <v>45108</v>
      </c>
      <c r="B1515" t="s">
        <v>29</v>
      </c>
      <c r="C1515" t="s">
        <v>88</v>
      </c>
      <c r="D1515" s="2">
        <v>904928.41</v>
      </c>
      <c r="E1515" s="2">
        <v>2527315.9</v>
      </c>
      <c r="F1515" s="2">
        <v>2779165.46</v>
      </c>
      <c r="G1515">
        <v>0</v>
      </c>
    </row>
    <row r="1516" spans="1:7" x14ac:dyDescent="0.25">
      <c r="A1516" s="1">
        <v>45108</v>
      </c>
      <c r="B1516" t="s">
        <v>37</v>
      </c>
      <c r="C1516" t="s">
        <v>89</v>
      </c>
      <c r="D1516" s="2">
        <v>37770773.5</v>
      </c>
      <c r="E1516" s="2">
        <v>195900133.52000001</v>
      </c>
      <c r="F1516" s="2">
        <v>224993945.66999999</v>
      </c>
      <c r="G1516" s="2">
        <v>8698605.7100000009</v>
      </c>
    </row>
    <row r="1517" spans="1:7" x14ac:dyDescent="0.25">
      <c r="A1517" s="1">
        <v>45108</v>
      </c>
      <c r="B1517" t="s">
        <v>37</v>
      </c>
      <c r="C1517" t="s">
        <v>90</v>
      </c>
      <c r="D1517" s="2">
        <v>21585523.039999999</v>
      </c>
      <c r="E1517" s="2">
        <v>75971924.280000001</v>
      </c>
      <c r="F1517" s="2">
        <v>99418636.709999993</v>
      </c>
      <c r="G1517" s="2">
        <v>1337259.19</v>
      </c>
    </row>
    <row r="1518" spans="1:7" x14ac:dyDescent="0.25">
      <c r="A1518" s="1">
        <v>45108</v>
      </c>
      <c r="B1518" t="s">
        <v>37</v>
      </c>
      <c r="C1518" t="s">
        <v>91</v>
      </c>
      <c r="D1518" s="2">
        <v>134654964.99000001</v>
      </c>
      <c r="E1518" s="2">
        <v>83376790.790000007</v>
      </c>
      <c r="F1518" s="2">
        <v>108699350.79000001</v>
      </c>
      <c r="G1518" s="2">
        <v>2016030.6</v>
      </c>
    </row>
    <row r="1519" spans="1:7" x14ac:dyDescent="0.25">
      <c r="A1519" s="1">
        <v>45108</v>
      </c>
      <c r="B1519" t="s">
        <v>37</v>
      </c>
      <c r="C1519" t="s">
        <v>92</v>
      </c>
      <c r="D1519" s="2">
        <v>6123284.5899999999</v>
      </c>
      <c r="E1519" s="2">
        <v>25780027.23</v>
      </c>
      <c r="F1519" s="2">
        <v>32522453.77</v>
      </c>
      <c r="G1519" s="2">
        <v>742579.07</v>
      </c>
    </row>
    <row r="1520" spans="1:7" x14ac:dyDescent="0.25">
      <c r="A1520" s="1">
        <v>45108</v>
      </c>
      <c r="B1520" t="s">
        <v>37</v>
      </c>
      <c r="C1520" t="s">
        <v>93</v>
      </c>
      <c r="D1520" s="2">
        <v>465375.43</v>
      </c>
      <c r="E1520" s="2">
        <v>16010303.67</v>
      </c>
      <c r="F1520" s="2">
        <v>19375997.539999999</v>
      </c>
      <c r="G1520" s="2">
        <v>939126.89</v>
      </c>
    </row>
    <row r="1521" spans="1:7" x14ac:dyDescent="0.25">
      <c r="A1521" s="1">
        <v>45108</v>
      </c>
      <c r="B1521" t="s">
        <v>37</v>
      </c>
      <c r="C1521" t="s">
        <v>94</v>
      </c>
      <c r="D1521" s="2">
        <v>17705255.5</v>
      </c>
      <c r="E1521" s="2">
        <v>74415964.700000003</v>
      </c>
      <c r="F1521" s="2">
        <v>93437655.299999997</v>
      </c>
      <c r="G1521" s="2">
        <v>77699.44</v>
      </c>
    </row>
    <row r="1522" spans="1:7" x14ac:dyDescent="0.25">
      <c r="A1522" s="1">
        <v>45108</v>
      </c>
      <c r="B1522" t="s">
        <v>37</v>
      </c>
      <c r="C1522" t="s">
        <v>95</v>
      </c>
      <c r="D1522" s="2">
        <v>5238014.41</v>
      </c>
      <c r="E1522" s="2">
        <v>25652661.539999999</v>
      </c>
      <c r="F1522" s="2">
        <v>30758999.890000001</v>
      </c>
      <c r="G1522" s="2">
        <v>2684739.91</v>
      </c>
    </row>
    <row r="1523" spans="1:7" x14ac:dyDescent="0.25">
      <c r="A1523" s="1">
        <v>45108</v>
      </c>
      <c r="B1523" t="s">
        <v>37</v>
      </c>
      <c r="C1523" t="s">
        <v>96</v>
      </c>
      <c r="D1523" s="2">
        <v>23119197.98</v>
      </c>
      <c r="E1523" s="2">
        <v>75375890.579999998</v>
      </c>
      <c r="F1523" s="2">
        <v>94581917.780000001</v>
      </c>
      <c r="G1523" s="2">
        <v>2946361.72</v>
      </c>
    </row>
    <row r="1524" spans="1:7" x14ac:dyDescent="0.25">
      <c r="A1524" s="1">
        <v>45108</v>
      </c>
      <c r="B1524" t="s">
        <v>37</v>
      </c>
      <c r="C1524" t="s">
        <v>97</v>
      </c>
      <c r="D1524" s="2">
        <v>71273291.230000004</v>
      </c>
      <c r="E1524" s="2">
        <v>60818903.75</v>
      </c>
      <c r="F1524" s="2">
        <v>75727557.129999995</v>
      </c>
      <c r="G1524" s="2">
        <v>1079802.73</v>
      </c>
    </row>
    <row r="1525" spans="1:7" x14ac:dyDescent="0.25">
      <c r="A1525" s="1">
        <v>45108</v>
      </c>
      <c r="B1525" t="s">
        <v>37</v>
      </c>
      <c r="C1525" t="s">
        <v>98</v>
      </c>
      <c r="D1525" s="2">
        <v>7464170.9299999997</v>
      </c>
      <c r="E1525" s="2">
        <v>32935747.399999999</v>
      </c>
      <c r="F1525" s="2">
        <v>39599261.079999998</v>
      </c>
      <c r="G1525" s="2">
        <v>403072.85</v>
      </c>
    </row>
    <row r="1526" spans="1:7" x14ac:dyDescent="0.25">
      <c r="A1526" s="1">
        <v>45108</v>
      </c>
      <c r="B1526" t="s">
        <v>37</v>
      </c>
      <c r="C1526" t="s">
        <v>99</v>
      </c>
      <c r="D1526" s="2">
        <v>15572530.52</v>
      </c>
      <c r="E1526" s="2">
        <v>132691974.06</v>
      </c>
      <c r="F1526" s="2">
        <v>168557785.09</v>
      </c>
      <c r="G1526" s="2">
        <v>1278959.43</v>
      </c>
    </row>
    <row r="1527" spans="1:7" x14ac:dyDescent="0.25">
      <c r="A1527" s="1">
        <v>45108</v>
      </c>
      <c r="B1527" t="s">
        <v>37</v>
      </c>
      <c r="C1527" t="s">
        <v>100</v>
      </c>
      <c r="D1527" s="2">
        <v>35704131.310000002</v>
      </c>
      <c r="E1527" s="2">
        <v>29150135.32</v>
      </c>
      <c r="F1527" s="2">
        <v>36205975.990000002</v>
      </c>
      <c r="G1527" s="2">
        <v>4014943.69</v>
      </c>
    </row>
    <row r="1528" spans="1:7" x14ac:dyDescent="0.25">
      <c r="A1528" s="1">
        <v>45108</v>
      </c>
      <c r="B1528" t="s">
        <v>37</v>
      </c>
      <c r="C1528" t="s">
        <v>101</v>
      </c>
      <c r="D1528" s="2">
        <v>7628303.3200000003</v>
      </c>
      <c r="E1528" s="2">
        <v>35328374.479999997</v>
      </c>
      <c r="F1528" s="2">
        <v>39512064.100000001</v>
      </c>
      <c r="G1528" s="2">
        <v>1151078.5</v>
      </c>
    </row>
    <row r="1529" spans="1:7" x14ac:dyDescent="0.25">
      <c r="A1529" s="1">
        <v>45108</v>
      </c>
      <c r="B1529" t="s">
        <v>37</v>
      </c>
      <c r="C1529" t="s">
        <v>102</v>
      </c>
      <c r="D1529" s="2">
        <v>953225.34</v>
      </c>
      <c r="E1529" s="2">
        <v>18806076.800000001</v>
      </c>
      <c r="F1529" s="2">
        <v>23526210.739999998</v>
      </c>
      <c r="G1529" s="2">
        <v>3932436.64</v>
      </c>
    </row>
    <row r="1530" spans="1:7" x14ac:dyDescent="0.25">
      <c r="A1530" s="1">
        <v>45108</v>
      </c>
      <c r="B1530" t="s">
        <v>37</v>
      </c>
      <c r="C1530" t="s">
        <v>103</v>
      </c>
      <c r="D1530" s="2">
        <v>2813516.85</v>
      </c>
      <c r="E1530" s="2">
        <v>75460432.459999993</v>
      </c>
      <c r="F1530" s="2">
        <v>97304477.879999995</v>
      </c>
      <c r="G1530" s="2">
        <v>1378957.66</v>
      </c>
    </row>
    <row r="1531" spans="1:7" x14ac:dyDescent="0.25">
      <c r="A1531" s="1">
        <v>45108</v>
      </c>
      <c r="B1531" t="s">
        <v>37</v>
      </c>
      <c r="C1531" t="s">
        <v>104</v>
      </c>
      <c r="D1531" s="2">
        <v>11022575.869999999</v>
      </c>
      <c r="E1531" s="2">
        <v>83405831.189999998</v>
      </c>
      <c r="F1531" s="2">
        <v>107349064.70999999</v>
      </c>
      <c r="G1531" s="2">
        <v>379588.7</v>
      </c>
    </row>
    <row r="1532" spans="1:7" x14ac:dyDescent="0.25">
      <c r="A1532" s="1">
        <v>45108</v>
      </c>
      <c r="B1532" t="s">
        <v>37</v>
      </c>
      <c r="C1532" t="s">
        <v>105</v>
      </c>
      <c r="D1532" s="2">
        <v>8784543.5700000003</v>
      </c>
      <c r="E1532" s="2">
        <v>32314890.77</v>
      </c>
      <c r="F1532" s="2">
        <v>38961639.920000002</v>
      </c>
      <c r="G1532" s="2">
        <v>2092667.54</v>
      </c>
    </row>
    <row r="1533" spans="1:7" x14ac:dyDescent="0.25">
      <c r="A1533" s="1">
        <v>45108</v>
      </c>
      <c r="B1533" t="s">
        <v>37</v>
      </c>
      <c r="C1533" t="s">
        <v>106</v>
      </c>
      <c r="D1533" s="2">
        <v>15738030.49</v>
      </c>
      <c r="E1533" s="2">
        <v>71108606.840000004</v>
      </c>
      <c r="F1533" s="2">
        <v>88895082.060000002</v>
      </c>
      <c r="G1533" s="2">
        <v>1946589.81</v>
      </c>
    </row>
    <row r="1534" spans="1:7" x14ac:dyDescent="0.25">
      <c r="A1534" s="1">
        <v>45108</v>
      </c>
      <c r="B1534" t="s">
        <v>37</v>
      </c>
      <c r="C1534" t="s">
        <v>107</v>
      </c>
      <c r="D1534" s="2">
        <v>819535.2</v>
      </c>
      <c r="E1534" s="2">
        <v>34283205.380000003</v>
      </c>
      <c r="F1534" s="2">
        <v>38012130.549999997</v>
      </c>
      <c r="G1534" s="2">
        <v>2482521.2400000002</v>
      </c>
    </row>
    <row r="1535" spans="1:7" x14ac:dyDescent="0.25">
      <c r="A1535" s="1">
        <v>45108</v>
      </c>
      <c r="B1535" t="s">
        <v>37</v>
      </c>
      <c r="C1535" t="s">
        <v>108</v>
      </c>
      <c r="D1535" s="2">
        <v>5159124.92</v>
      </c>
      <c r="E1535" s="2">
        <v>21486319.780000001</v>
      </c>
      <c r="F1535" s="2">
        <v>25140892.690000001</v>
      </c>
      <c r="G1535" s="2">
        <v>1305134.53</v>
      </c>
    </row>
    <row r="1536" spans="1:7" x14ac:dyDescent="0.25">
      <c r="A1536" s="1">
        <v>45108</v>
      </c>
      <c r="B1536" t="s">
        <v>50</v>
      </c>
      <c r="C1536" t="s">
        <v>109</v>
      </c>
      <c r="D1536">
        <v>0</v>
      </c>
      <c r="E1536" s="2">
        <v>288671258.91000003</v>
      </c>
      <c r="F1536" s="2">
        <v>288671258.91000003</v>
      </c>
      <c r="G1536">
        <v>0</v>
      </c>
    </row>
    <row r="1537" spans="1:7" x14ac:dyDescent="0.25">
      <c r="A1537" s="1">
        <v>45108</v>
      </c>
      <c r="B1537" t="s">
        <v>50</v>
      </c>
      <c r="C1537" t="s">
        <v>110</v>
      </c>
      <c r="D1537">
        <v>0</v>
      </c>
      <c r="E1537" s="2">
        <v>866013776.53999996</v>
      </c>
      <c r="F1537" s="2">
        <v>866013776.53999996</v>
      </c>
      <c r="G1537">
        <v>0</v>
      </c>
    </row>
    <row r="1538" spans="1:7" x14ac:dyDescent="0.25">
      <c r="A1538" s="1">
        <v>45108</v>
      </c>
      <c r="B1538" t="s">
        <v>50</v>
      </c>
      <c r="C1538" t="s">
        <v>111</v>
      </c>
      <c r="D1538">
        <v>0</v>
      </c>
      <c r="E1538" s="2">
        <v>288671258.91000003</v>
      </c>
      <c r="F1538" s="2">
        <v>288671258.91000003</v>
      </c>
      <c r="G1538">
        <v>0</v>
      </c>
    </row>
    <row r="1539" spans="1:7" x14ac:dyDescent="0.25">
      <c r="A1539" s="1">
        <v>45108</v>
      </c>
      <c r="B1539" t="s">
        <v>45</v>
      </c>
      <c r="C1539" t="s">
        <v>112</v>
      </c>
      <c r="D1539" s="2">
        <v>1731240680.6700001</v>
      </c>
      <c r="E1539" s="2">
        <v>1487589995.73</v>
      </c>
      <c r="F1539" s="2">
        <v>1911968183.6800001</v>
      </c>
      <c r="G1539" s="2">
        <v>9206159.7200000007</v>
      </c>
    </row>
    <row r="1540" spans="1:7" x14ac:dyDescent="0.25">
      <c r="A1540" s="1">
        <v>45108</v>
      </c>
      <c r="B1540" t="s">
        <v>11</v>
      </c>
      <c r="C1540" t="s">
        <v>113</v>
      </c>
      <c r="D1540" s="2">
        <v>28626861.129999999</v>
      </c>
      <c r="E1540" s="2">
        <v>66271290.25</v>
      </c>
      <c r="F1540" s="2">
        <v>66271290.25</v>
      </c>
      <c r="G1540" s="2">
        <v>150589.82999999999</v>
      </c>
    </row>
    <row r="1541" spans="1:7" x14ac:dyDescent="0.25">
      <c r="A1541" s="1">
        <v>45108</v>
      </c>
      <c r="B1541" t="s">
        <v>80</v>
      </c>
      <c r="C1541" t="s">
        <v>114</v>
      </c>
      <c r="D1541" s="2">
        <v>10473299739.67</v>
      </c>
      <c r="E1541" s="2">
        <v>10471770817.42</v>
      </c>
      <c r="F1541" s="2">
        <v>10471770817.42</v>
      </c>
      <c r="G1541" s="2">
        <v>34368368.049999997</v>
      </c>
    </row>
    <row r="1542" spans="1:7" x14ac:dyDescent="0.25">
      <c r="A1542" s="1">
        <v>45108</v>
      </c>
      <c r="B1542" t="s">
        <v>63</v>
      </c>
      <c r="C1542" t="s">
        <v>116</v>
      </c>
      <c r="D1542" s="2">
        <v>6375469000</v>
      </c>
      <c r="E1542" s="2">
        <v>33655.06</v>
      </c>
      <c r="F1542" s="2">
        <v>33655.06</v>
      </c>
      <c r="G1542">
        <v>0</v>
      </c>
    </row>
    <row r="1543" spans="1:7" x14ac:dyDescent="0.25">
      <c r="A1543" s="1">
        <v>45108</v>
      </c>
      <c r="B1543" t="s">
        <v>50</v>
      </c>
      <c r="C1543" t="s">
        <v>119</v>
      </c>
      <c r="D1543">
        <v>0</v>
      </c>
      <c r="E1543">
        <v>0</v>
      </c>
      <c r="F1543">
        <v>0</v>
      </c>
      <c r="G1543" s="2">
        <v>42447238.710000001</v>
      </c>
    </row>
    <row r="1544" spans="1:7" x14ac:dyDescent="0.25">
      <c r="A1544" s="1">
        <v>45108</v>
      </c>
      <c r="B1544" t="s">
        <v>45</v>
      </c>
      <c r="C1544" t="s">
        <v>120</v>
      </c>
      <c r="D1544" s="2">
        <v>19205271.030000001</v>
      </c>
      <c r="E1544" s="2">
        <v>19000000</v>
      </c>
      <c r="F1544" s="2">
        <v>19430904.469999999</v>
      </c>
      <c r="G1544">
        <v>0</v>
      </c>
    </row>
    <row r="1545" spans="1:7" x14ac:dyDescent="0.25">
      <c r="A1545" s="1">
        <v>45108</v>
      </c>
      <c r="B1545" t="s">
        <v>45</v>
      </c>
      <c r="C1545" t="s">
        <v>121</v>
      </c>
      <c r="D1545" s="2">
        <v>7711510.8799999999</v>
      </c>
      <c r="E1545" s="2">
        <v>7711510.8799999999</v>
      </c>
      <c r="F1545" s="2">
        <v>7711510.8799999999</v>
      </c>
      <c r="G1545">
        <v>0</v>
      </c>
    </row>
    <row r="1546" spans="1:7" x14ac:dyDescent="0.25">
      <c r="A1546" s="1">
        <v>45108</v>
      </c>
      <c r="B1546" t="s">
        <v>61</v>
      </c>
      <c r="C1546" t="s">
        <v>122</v>
      </c>
      <c r="D1546" s="2">
        <v>3053242.84</v>
      </c>
      <c r="E1546" s="2">
        <v>4203366.12</v>
      </c>
      <c r="F1546" s="2">
        <v>4405314.33</v>
      </c>
      <c r="G1546" s="2">
        <v>425777</v>
      </c>
    </row>
    <row r="1547" spans="1:7" x14ac:dyDescent="0.25">
      <c r="A1547" s="1">
        <v>45108</v>
      </c>
      <c r="B1547" t="s">
        <v>53</v>
      </c>
      <c r="C1547" t="s">
        <v>123</v>
      </c>
      <c r="D1547" s="2">
        <v>126410742.25</v>
      </c>
      <c r="E1547" s="2">
        <v>126410742.20999999</v>
      </c>
      <c r="F1547" s="2">
        <v>126410742.20999999</v>
      </c>
      <c r="G1547" s="2">
        <v>129533119.43000001</v>
      </c>
    </row>
    <row r="1548" spans="1:7" x14ac:dyDescent="0.25">
      <c r="A1548" s="1">
        <v>45108</v>
      </c>
      <c r="B1548" t="s">
        <v>29</v>
      </c>
      <c r="C1548" t="s">
        <v>124</v>
      </c>
      <c r="D1548" s="2">
        <v>191567895.47999999</v>
      </c>
      <c r="E1548" s="2">
        <v>202504253.47999999</v>
      </c>
      <c r="F1548" s="2">
        <v>200860977.81</v>
      </c>
      <c r="G1548" s="2">
        <v>8519605.9499999993</v>
      </c>
    </row>
    <row r="1549" spans="1:7" x14ac:dyDescent="0.25">
      <c r="A1549" s="1">
        <v>45108</v>
      </c>
      <c r="B1549" t="s">
        <v>125</v>
      </c>
      <c r="C1549" t="s">
        <v>126</v>
      </c>
      <c r="D1549" s="2">
        <v>148692057191.69</v>
      </c>
      <c r="E1549" s="2">
        <v>65296452701.93</v>
      </c>
      <c r="F1549" s="2">
        <v>89029170453.550003</v>
      </c>
      <c r="G1549" s="2">
        <v>309260.07</v>
      </c>
    </row>
    <row r="1550" spans="1:7" x14ac:dyDescent="0.25">
      <c r="A1550" s="1">
        <v>45108</v>
      </c>
      <c r="B1550" t="s">
        <v>127</v>
      </c>
      <c r="C1550" t="s">
        <v>128</v>
      </c>
      <c r="D1550" s="2">
        <v>201024999.99000001</v>
      </c>
      <c r="E1550" s="2">
        <v>220517218.81999999</v>
      </c>
      <c r="F1550" s="2">
        <v>220517218.81999999</v>
      </c>
      <c r="G1550" s="2">
        <v>61404592</v>
      </c>
    </row>
    <row r="1551" spans="1:7" x14ac:dyDescent="0.25">
      <c r="A1551" s="1">
        <v>45108</v>
      </c>
      <c r="B1551" t="s">
        <v>31</v>
      </c>
      <c r="C1551" t="s">
        <v>129</v>
      </c>
      <c r="D1551" s="2">
        <v>16773925.109999999</v>
      </c>
      <c r="E1551" s="2">
        <v>39733.07</v>
      </c>
      <c r="F1551" s="2">
        <v>39066.36</v>
      </c>
      <c r="G1551" s="2">
        <v>25842.720000000001</v>
      </c>
    </row>
    <row r="1552" spans="1:7" x14ac:dyDescent="0.25">
      <c r="A1552" s="1">
        <v>45108</v>
      </c>
      <c r="B1552" t="s">
        <v>130</v>
      </c>
      <c r="C1552" t="s">
        <v>131</v>
      </c>
      <c r="D1552" s="2">
        <v>360340441.19999999</v>
      </c>
      <c r="E1552" s="2">
        <v>573792179.23000002</v>
      </c>
      <c r="F1552" s="2">
        <v>574009668.21000004</v>
      </c>
      <c r="G1552" s="2">
        <v>131452499.26000001</v>
      </c>
    </row>
    <row r="1553" spans="1:7" x14ac:dyDescent="0.25">
      <c r="A1553" s="1">
        <v>45108</v>
      </c>
      <c r="B1553" t="s">
        <v>11</v>
      </c>
      <c r="C1553" t="s">
        <v>132</v>
      </c>
      <c r="D1553" s="2">
        <v>10077969</v>
      </c>
      <c r="E1553" s="2">
        <v>757552.09</v>
      </c>
      <c r="F1553" s="2">
        <v>757552.09</v>
      </c>
      <c r="G1553" s="2">
        <v>20107.560000000001</v>
      </c>
    </row>
    <row r="1554" spans="1:7" x14ac:dyDescent="0.25">
      <c r="A1554" s="1">
        <v>45108</v>
      </c>
      <c r="B1554" t="s">
        <v>24</v>
      </c>
      <c r="C1554" t="s">
        <v>133</v>
      </c>
      <c r="D1554" s="2">
        <v>2057302</v>
      </c>
      <c r="E1554">
        <v>0</v>
      </c>
      <c r="F1554">
        <v>0</v>
      </c>
      <c r="G1554" s="2">
        <v>2863957971.1399999</v>
      </c>
    </row>
    <row r="1555" spans="1:7" x14ac:dyDescent="0.25">
      <c r="A1555" s="1">
        <v>45108</v>
      </c>
      <c r="B1555" t="s">
        <v>9</v>
      </c>
      <c r="C1555" t="s">
        <v>135</v>
      </c>
      <c r="D1555" s="2">
        <v>76180947.569999993</v>
      </c>
      <c r="E1555" s="2">
        <v>215275842.28</v>
      </c>
      <c r="F1555" s="2">
        <v>224066662.34999999</v>
      </c>
      <c r="G1555" s="2">
        <v>961784.49</v>
      </c>
    </row>
    <row r="1556" spans="1:7" x14ac:dyDescent="0.25">
      <c r="A1556" s="1">
        <v>45108</v>
      </c>
      <c r="B1556" t="s">
        <v>37</v>
      </c>
      <c r="C1556" t="s">
        <v>136</v>
      </c>
      <c r="D1556" s="2">
        <v>1284153756.4000001</v>
      </c>
      <c r="E1556" s="2">
        <v>5788437464.8999996</v>
      </c>
      <c r="F1556" s="2">
        <v>5800938963.9899998</v>
      </c>
      <c r="G1556" s="2">
        <v>103262717.53</v>
      </c>
    </row>
    <row r="1557" spans="1:7" x14ac:dyDescent="0.25">
      <c r="A1557" s="1">
        <v>45108</v>
      </c>
      <c r="B1557" t="s">
        <v>48</v>
      </c>
      <c r="C1557" t="s">
        <v>137</v>
      </c>
      <c r="D1557">
        <v>0</v>
      </c>
      <c r="E1557">
        <v>0</v>
      </c>
      <c r="F1557">
        <v>0</v>
      </c>
      <c r="G1557" s="2">
        <v>1226252.83</v>
      </c>
    </row>
    <row r="1558" spans="1:7" x14ac:dyDescent="0.25">
      <c r="A1558" s="1">
        <v>45108</v>
      </c>
      <c r="B1558" t="s">
        <v>31</v>
      </c>
      <c r="C1558" t="s">
        <v>138</v>
      </c>
      <c r="D1558" s="2">
        <v>38950276.420000002</v>
      </c>
      <c r="E1558" s="2">
        <v>35223677.340000004</v>
      </c>
      <c r="F1558" s="2">
        <v>33982045.420000002</v>
      </c>
      <c r="G1558" s="2">
        <v>12427987.869999999</v>
      </c>
    </row>
    <row r="1559" spans="1:7" x14ac:dyDescent="0.25">
      <c r="A1559" s="1">
        <v>45108</v>
      </c>
      <c r="B1559" t="s">
        <v>31</v>
      </c>
      <c r="C1559" t="s">
        <v>143</v>
      </c>
      <c r="D1559" s="2">
        <v>117181902.48</v>
      </c>
      <c r="E1559" s="2">
        <v>7342180.2999999998</v>
      </c>
      <c r="F1559" s="2">
        <v>7761535.9100000001</v>
      </c>
      <c r="G1559" s="2">
        <v>21817584.289999999</v>
      </c>
    </row>
    <row r="1560" spans="1:7" x14ac:dyDescent="0.25">
      <c r="A1560" s="1">
        <v>45108</v>
      </c>
      <c r="B1560" t="s">
        <v>61</v>
      </c>
      <c r="C1560" t="s">
        <v>144</v>
      </c>
      <c r="D1560" s="2">
        <v>65838.3</v>
      </c>
      <c r="E1560" s="2">
        <v>683430.61</v>
      </c>
      <c r="F1560" s="2">
        <v>818805.14</v>
      </c>
      <c r="G1560">
        <v>0</v>
      </c>
    </row>
    <row r="1561" spans="1:7" x14ac:dyDescent="0.25">
      <c r="A1561" s="1">
        <v>45108</v>
      </c>
      <c r="B1561" t="s">
        <v>37</v>
      </c>
      <c r="C1561" t="s">
        <v>145</v>
      </c>
      <c r="D1561" s="2">
        <v>152272055.27000001</v>
      </c>
      <c r="E1561" s="2">
        <v>146298684.03999999</v>
      </c>
      <c r="F1561" s="2">
        <v>157406630.05000001</v>
      </c>
      <c r="G1561" s="2">
        <v>6099452.8700000001</v>
      </c>
    </row>
    <row r="1562" spans="1:7" x14ac:dyDescent="0.25">
      <c r="A1562" s="1">
        <v>45108</v>
      </c>
      <c r="B1562" t="s">
        <v>16</v>
      </c>
      <c r="C1562" t="s">
        <v>146</v>
      </c>
      <c r="D1562" s="2">
        <v>126950495.09</v>
      </c>
      <c r="E1562" s="2">
        <v>142721164.18000001</v>
      </c>
      <c r="F1562" s="2">
        <v>148612292.19999999</v>
      </c>
      <c r="G1562" s="2">
        <v>779488.15</v>
      </c>
    </row>
    <row r="1563" spans="1:7" x14ac:dyDescent="0.25">
      <c r="A1563" s="1">
        <v>45108</v>
      </c>
      <c r="B1563" t="s">
        <v>29</v>
      </c>
      <c r="C1563" t="s">
        <v>147</v>
      </c>
      <c r="D1563" s="2">
        <v>17208744.809999999</v>
      </c>
      <c r="E1563" s="2">
        <v>25362178.079999998</v>
      </c>
      <c r="F1563" s="2">
        <v>30327916.199999999</v>
      </c>
      <c r="G1563" s="2">
        <v>9878821.0299999993</v>
      </c>
    </row>
    <row r="1564" spans="1:7" x14ac:dyDescent="0.25">
      <c r="A1564" s="1">
        <v>45108</v>
      </c>
      <c r="B1564" t="s">
        <v>24</v>
      </c>
      <c r="C1564" t="s">
        <v>148</v>
      </c>
      <c r="D1564" s="2">
        <v>22099583.010000002</v>
      </c>
      <c r="E1564" s="2">
        <v>14694504.49</v>
      </c>
      <c r="F1564" s="2">
        <v>14403798.439999999</v>
      </c>
      <c r="G1564" s="2">
        <v>811403.1</v>
      </c>
    </row>
    <row r="1565" spans="1:7" x14ac:dyDescent="0.25">
      <c r="A1565" s="1">
        <v>45108</v>
      </c>
      <c r="B1565" t="s">
        <v>22</v>
      </c>
      <c r="C1565" t="s">
        <v>149</v>
      </c>
      <c r="D1565" s="2">
        <v>48115251.210000001</v>
      </c>
      <c r="E1565" s="2">
        <v>121868390.29000001</v>
      </c>
      <c r="F1565" s="2">
        <v>158630056.61000001</v>
      </c>
      <c r="G1565" s="2">
        <v>9126484.2200000007</v>
      </c>
    </row>
    <row r="1566" spans="1:7" x14ac:dyDescent="0.25">
      <c r="A1566" s="1">
        <v>45108</v>
      </c>
      <c r="B1566" t="s">
        <v>22</v>
      </c>
      <c r="C1566" t="s">
        <v>150</v>
      </c>
      <c r="D1566" s="2">
        <v>30044581.43</v>
      </c>
      <c r="E1566" s="2">
        <v>68454650.700000003</v>
      </c>
      <c r="F1566" s="2">
        <v>78467550.629999995</v>
      </c>
      <c r="G1566" s="2">
        <v>5558119.5499999998</v>
      </c>
    </row>
    <row r="1567" spans="1:7" x14ac:dyDescent="0.25">
      <c r="A1567" s="1">
        <v>45108</v>
      </c>
      <c r="B1567" t="s">
        <v>77</v>
      </c>
      <c r="C1567" t="s">
        <v>151</v>
      </c>
      <c r="D1567" s="2">
        <v>2929702.86</v>
      </c>
      <c r="E1567" s="2">
        <v>31008208.5</v>
      </c>
      <c r="F1567" s="2">
        <v>43189328.700000003</v>
      </c>
      <c r="G1567" s="2">
        <v>2559207.5499999998</v>
      </c>
    </row>
    <row r="1568" spans="1:7" x14ac:dyDescent="0.25">
      <c r="A1568" s="1">
        <v>45108</v>
      </c>
      <c r="B1568" t="s">
        <v>22</v>
      </c>
      <c r="C1568" t="s">
        <v>152</v>
      </c>
      <c r="D1568" s="2">
        <v>3303205.95</v>
      </c>
      <c r="E1568" s="2">
        <v>7673459.6100000003</v>
      </c>
      <c r="F1568" s="2">
        <v>8615757.6799999997</v>
      </c>
      <c r="G1568">
        <v>850</v>
      </c>
    </row>
    <row r="1569" spans="1:7" x14ac:dyDescent="0.25">
      <c r="A1569" s="1">
        <v>45108</v>
      </c>
      <c r="B1569" t="s">
        <v>24</v>
      </c>
      <c r="C1569" t="s">
        <v>153</v>
      </c>
      <c r="D1569" s="2">
        <v>11460932.1</v>
      </c>
      <c r="E1569" s="2">
        <v>27743627.379999999</v>
      </c>
      <c r="F1569" s="2">
        <v>33889470.090000004</v>
      </c>
      <c r="G1569" s="2">
        <v>4206500.41</v>
      </c>
    </row>
    <row r="1570" spans="1:7" x14ac:dyDescent="0.25">
      <c r="A1570" s="1">
        <v>45108</v>
      </c>
      <c r="B1570" t="s">
        <v>37</v>
      </c>
      <c r="C1570" t="s">
        <v>154</v>
      </c>
      <c r="D1570" s="2">
        <v>11655853.66</v>
      </c>
      <c r="E1570" s="2">
        <v>32011974.27</v>
      </c>
      <c r="F1570" s="2">
        <v>37924842.609999999</v>
      </c>
      <c r="G1570" s="2">
        <v>1420536.24</v>
      </c>
    </row>
    <row r="1571" spans="1:7" x14ac:dyDescent="0.25">
      <c r="A1571" s="1">
        <v>45108</v>
      </c>
      <c r="B1571" t="s">
        <v>37</v>
      </c>
      <c r="C1571" t="s">
        <v>155</v>
      </c>
      <c r="D1571" s="2">
        <v>5484210.29</v>
      </c>
      <c r="E1571" s="2">
        <v>35282464.990000002</v>
      </c>
      <c r="F1571" s="2">
        <v>43662613.130000003</v>
      </c>
      <c r="G1571" s="2">
        <v>918558.16</v>
      </c>
    </row>
    <row r="1572" spans="1:7" x14ac:dyDescent="0.25">
      <c r="A1572" s="1">
        <v>45108</v>
      </c>
      <c r="B1572" t="s">
        <v>37</v>
      </c>
      <c r="C1572" t="s">
        <v>156</v>
      </c>
      <c r="D1572" s="2">
        <v>6498793.3899999997</v>
      </c>
      <c r="E1572" s="2">
        <v>57824226.43</v>
      </c>
      <c r="F1572" s="2">
        <v>66963660.240000002</v>
      </c>
      <c r="G1572" s="2">
        <v>1370109.35</v>
      </c>
    </row>
    <row r="1573" spans="1:7" x14ac:dyDescent="0.25">
      <c r="A1573" s="1">
        <v>45108</v>
      </c>
      <c r="B1573" t="s">
        <v>37</v>
      </c>
      <c r="C1573" t="s">
        <v>157</v>
      </c>
      <c r="D1573" s="2">
        <v>105677843.61</v>
      </c>
      <c r="E1573" s="2">
        <v>52921963.090000004</v>
      </c>
      <c r="F1573" s="2">
        <v>62834783.979999997</v>
      </c>
      <c r="G1573" s="2">
        <v>2614569.0099999998</v>
      </c>
    </row>
    <row r="1574" spans="1:7" x14ac:dyDescent="0.25">
      <c r="A1574" s="1">
        <v>45108</v>
      </c>
      <c r="B1574" t="s">
        <v>37</v>
      </c>
      <c r="C1574" t="s">
        <v>158</v>
      </c>
      <c r="D1574" s="2">
        <v>26397409.370000001</v>
      </c>
      <c r="E1574" s="2">
        <v>32995558.82</v>
      </c>
      <c r="F1574" s="2">
        <v>37297614.609999999</v>
      </c>
      <c r="G1574" s="2">
        <v>2105805.0499999998</v>
      </c>
    </row>
    <row r="1575" spans="1:7" x14ac:dyDescent="0.25">
      <c r="A1575" s="1">
        <v>45108</v>
      </c>
      <c r="B1575" t="s">
        <v>37</v>
      </c>
      <c r="C1575" t="s">
        <v>159</v>
      </c>
      <c r="D1575" s="2">
        <v>22976413.969999999</v>
      </c>
      <c r="E1575" s="2">
        <v>23212191.739999998</v>
      </c>
      <c r="F1575" s="2">
        <v>28065383.920000002</v>
      </c>
      <c r="G1575" s="2">
        <v>2545223.9900000002</v>
      </c>
    </row>
    <row r="1576" spans="1:7" x14ac:dyDescent="0.25">
      <c r="A1576" s="1">
        <v>45108</v>
      </c>
      <c r="B1576" t="s">
        <v>37</v>
      </c>
      <c r="C1576" t="s">
        <v>160</v>
      </c>
      <c r="D1576" s="2">
        <v>16529921.35</v>
      </c>
      <c r="E1576" s="2">
        <v>42590688.82</v>
      </c>
      <c r="F1576" s="2">
        <v>49330154.539999999</v>
      </c>
      <c r="G1576" s="2">
        <v>1571197.06</v>
      </c>
    </row>
    <row r="1577" spans="1:7" x14ac:dyDescent="0.25">
      <c r="A1577" s="1">
        <v>45108</v>
      </c>
      <c r="B1577" t="s">
        <v>37</v>
      </c>
      <c r="C1577" t="s">
        <v>161</v>
      </c>
      <c r="D1577" s="2">
        <v>31636470.280000001</v>
      </c>
      <c r="E1577" s="2">
        <v>39709557.850000001</v>
      </c>
      <c r="F1577" s="2">
        <v>48261386.009999998</v>
      </c>
      <c r="G1577" s="2">
        <v>1571155.36</v>
      </c>
    </row>
    <row r="1578" spans="1:7" x14ac:dyDescent="0.25">
      <c r="A1578" s="1">
        <v>45108</v>
      </c>
      <c r="B1578" t="s">
        <v>37</v>
      </c>
      <c r="C1578" t="s">
        <v>162</v>
      </c>
      <c r="D1578" s="2">
        <v>10589339.08</v>
      </c>
      <c r="E1578" s="2">
        <v>51427188.920000002</v>
      </c>
      <c r="F1578" s="2">
        <v>62047790.899999999</v>
      </c>
      <c r="G1578" s="2">
        <v>1025913</v>
      </c>
    </row>
    <row r="1579" spans="1:7" x14ac:dyDescent="0.25">
      <c r="A1579" s="1">
        <v>45108</v>
      </c>
      <c r="B1579" t="s">
        <v>37</v>
      </c>
      <c r="C1579" t="s">
        <v>163</v>
      </c>
      <c r="D1579" s="2">
        <v>30535977.899999999</v>
      </c>
      <c r="E1579" s="2">
        <v>23606816.940000001</v>
      </c>
      <c r="F1579" s="2">
        <v>27508325.07</v>
      </c>
      <c r="G1579" s="2">
        <v>3632613.21</v>
      </c>
    </row>
    <row r="1580" spans="1:7" x14ac:dyDescent="0.25">
      <c r="A1580" s="1">
        <v>45108</v>
      </c>
      <c r="B1580" t="s">
        <v>37</v>
      </c>
      <c r="C1580" t="s">
        <v>164</v>
      </c>
      <c r="D1580" s="2">
        <v>10393472.15</v>
      </c>
      <c r="E1580" s="2">
        <v>12951204.050000001</v>
      </c>
      <c r="F1580" s="2">
        <v>16080921.27</v>
      </c>
      <c r="G1580" s="2">
        <v>808720.46</v>
      </c>
    </row>
    <row r="1581" spans="1:7" x14ac:dyDescent="0.25">
      <c r="A1581" s="1">
        <v>45108</v>
      </c>
      <c r="B1581" t="s">
        <v>37</v>
      </c>
      <c r="C1581" t="s">
        <v>165</v>
      </c>
      <c r="D1581" s="2">
        <v>10268824.140000001</v>
      </c>
      <c r="E1581" s="2">
        <v>53671490.549999997</v>
      </c>
      <c r="F1581" s="2">
        <v>66074706.350000001</v>
      </c>
      <c r="G1581" s="2">
        <v>1531930.99</v>
      </c>
    </row>
    <row r="1582" spans="1:7" x14ac:dyDescent="0.25">
      <c r="A1582" s="1">
        <v>45108</v>
      </c>
      <c r="B1582" t="s">
        <v>37</v>
      </c>
      <c r="C1582" t="s">
        <v>166</v>
      </c>
      <c r="D1582" s="2">
        <v>3768732.4</v>
      </c>
      <c r="E1582" s="2">
        <v>25474913.02</v>
      </c>
      <c r="F1582" s="2">
        <v>31131148.109999999</v>
      </c>
      <c r="G1582" s="2">
        <v>1140871.8400000001</v>
      </c>
    </row>
    <row r="1583" spans="1:7" x14ac:dyDescent="0.25">
      <c r="A1583" s="1">
        <v>45108</v>
      </c>
      <c r="B1583" t="s">
        <v>37</v>
      </c>
      <c r="C1583" t="s">
        <v>167</v>
      </c>
      <c r="D1583" s="2">
        <v>13759237</v>
      </c>
      <c r="E1583" s="2">
        <v>89325970.480000004</v>
      </c>
      <c r="F1583" s="2">
        <v>114287395.25</v>
      </c>
      <c r="G1583" s="2">
        <v>6482952.6900000004</v>
      </c>
    </row>
    <row r="1584" spans="1:7" x14ac:dyDescent="0.25">
      <c r="A1584" s="1">
        <v>45108</v>
      </c>
      <c r="B1584" t="s">
        <v>37</v>
      </c>
      <c r="C1584" t="s">
        <v>168</v>
      </c>
      <c r="D1584" s="2">
        <v>2146344.91</v>
      </c>
      <c r="E1584" s="2">
        <v>11739413.98</v>
      </c>
      <c r="F1584" s="2">
        <v>15347020.289999999</v>
      </c>
      <c r="G1584" s="2">
        <v>1026116.99</v>
      </c>
    </row>
    <row r="1585" spans="1:7" x14ac:dyDescent="0.25">
      <c r="A1585" s="1">
        <v>45108</v>
      </c>
      <c r="B1585" t="s">
        <v>37</v>
      </c>
      <c r="C1585" t="s">
        <v>169</v>
      </c>
      <c r="D1585" s="2">
        <v>4560209.74</v>
      </c>
      <c r="E1585" s="2">
        <v>9157251.7200000007</v>
      </c>
      <c r="F1585" s="2">
        <v>10842079.91</v>
      </c>
      <c r="G1585" s="2">
        <v>514292.71</v>
      </c>
    </row>
    <row r="1586" spans="1:7" x14ac:dyDescent="0.25">
      <c r="A1586" s="1">
        <v>45108</v>
      </c>
      <c r="B1586" t="s">
        <v>37</v>
      </c>
      <c r="C1586" t="s">
        <v>170</v>
      </c>
      <c r="D1586" s="2">
        <v>17165000.870000001</v>
      </c>
      <c r="E1586" s="2">
        <v>37229936.399999999</v>
      </c>
      <c r="F1586" s="2">
        <v>42820039.960000001</v>
      </c>
      <c r="G1586" s="2">
        <v>1584085.62</v>
      </c>
    </row>
    <row r="1587" spans="1:7" x14ac:dyDescent="0.25">
      <c r="A1587" s="1">
        <v>45108</v>
      </c>
      <c r="B1587" t="s">
        <v>37</v>
      </c>
      <c r="C1587" t="s">
        <v>171</v>
      </c>
      <c r="D1587" s="2">
        <v>2330929.4500000002</v>
      </c>
      <c r="E1587" s="2">
        <v>71174797.049999997</v>
      </c>
      <c r="F1587" s="2">
        <v>89808587.010000005</v>
      </c>
      <c r="G1587" s="2">
        <v>645894.75</v>
      </c>
    </row>
    <row r="1588" spans="1:7" x14ac:dyDescent="0.25">
      <c r="A1588" s="1">
        <v>45108</v>
      </c>
      <c r="B1588" t="s">
        <v>37</v>
      </c>
      <c r="C1588" t="s">
        <v>172</v>
      </c>
      <c r="D1588" s="2">
        <v>89737664.420000002</v>
      </c>
      <c r="E1588" s="2">
        <v>67944891.829999998</v>
      </c>
      <c r="F1588" s="2">
        <v>77483446.579999998</v>
      </c>
      <c r="G1588" s="2">
        <v>1217009.29</v>
      </c>
    </row>
    <row r="1589" spans="1:7" x14ac:dyDescent="0.25">
      <c r="A1589" s="1">
        <v>45108</v>
      </c>
      <c r="B1589" t="s">
        <v>37</v>
      </c>
      <c r="C1589" t="s">
        <v>173</v>
      </c>
      <c r="D1589" s="2">
        <v>14996375.73</v>
      </c>
      <c r="E1589" s="2">
        <v>62337333.640000001</v>
      </c>
      <c r="F1589" s="2">
        <v>75417319.989999995</v>
      </c>
      <c r="G1589" s="2">
        <v>2121679.23</v>
      </c>
    </row>
    <row r="1590" spans="1:7" x14ac:dyDescent="0.25">
      <c r="A1590" s="1">
        <v>45108</v>
      </c>
      <c r="B1590" t="s">
        <v>37</v>
      </c>
      <c r="C1590" t="s">
        <v>174</v>
      </c>
      <c r="D1590" s="2">
        <v>7585225.71</v>
      </c>
      <c r="E1590" s="2">
        <v>45832595.189999998</v>
      </c>
      <c r="F1590" s="2">
        <v>54408304</v>
      </c>
      <c r="G1590" s="2">
        <v>2588156.02</v>
      </c>
    </row>
    <row r="1591" spans="1:7" x14ac:dyDescent="0.25">
      <c r="A1591" s="1">
        <v>45108</v>
      </c>
      <c r="B1591" t="s">
        <v>37</v>
      </c>
      <c r="C1591" t="s">
        <v>175</v>
      </c>
      <c r="D1591" s="2">
        <v>28667562.68</v>
      </c>
      <c r="E1591" s="2">
        <v>20552725.789999999</v>
      </c>
      <c r="F1591" s="2">
        <v>27065991.52</v>
      </c>
      <c r="G1591" s="2">
        <v>2312871.6800000002</v>
      </c>
    </row>
    <row r="1592" spans="1:7" x14ac:dyDescent="0.25">
      <c r="A1592" s="1">
        <v>45108</v>
      </c>
      <c r="B1592" t="s">
        <v>37</v>
      </c>
      <c r="C1592" t="s">
        <v>176</v>
      </c>
      <c r="D1592" s="2">
        <v>7912506.1699999999</v>
      </c>
      <c r="E1592" s="2">
        <v>28097415.27</v>
      </c>
      <c r="F1592" s="2">
        <v>33478740.949999999</v>
      </c>
      <c r="G1592" s="2">
        <v>1538184</v>
      </c>
    </row>
    <row r="1593" spans="1:7" x14ac:dyDescent="0.25">
      <c r="A1593" s="1">
        <v>45108</v>
      </c>
      <c r="B1593" t="s">
        <v>37</v>
      </c>
      <c r="C1593" t="s">
        <v>177</v>
      </c>
      <c r="D1593" s="2">
        <v>1975341.93</v>
      </c>
      <c r="E1593" s="2">
        <v>42617443.210000001</v>
      </c>
      <c r="F1593" s="2">
        <v>56359498.75</v>
      </c>
      <c r="G1593" s="2">
        <v>1570240.94</v>
      </c>
    </row>
    <row r="1594" spans="1:7" x14ac:dyDescent="0.25">
      <c r="A1594" s="1">
        <v>45108</v>
      </c>
      <c r="B1594" t="s">
        <v>37</v>
      </c>
      <c r="C1594" t="s">
        <v>178</v>
      </c>
      <c r="D1594" s="2">
        <v>5109461.58</v>
      </c>
      <c r="E1594" s="2">
        <v>48119382.32</v>
      </c>
      <c r="F1594" s="2">
        <v>61403723.850000001</v>
      </c>
      <c r="G1594" s="2">
        <v>636543.34</v>
      </c>
    </row>
    <row r="1595" spans="1:7" x14ac:dyDescent="0.25">
      <c r="A1595" s="1">
        <v>45108</v>
      </c>
      <c r="B1595" t="s">
        <v>37</v>
      </c>
      <c r="C1595" t="s">
        <v>179</v>
      </c>
      <c r="D1595" s="2">
        <v>5939623.0899999999</v>
      </c>
      <c r="E1595" s="2">
        <v>45274317.719999999</v>
      </c>
      <c r="F1595" s="2">
        <v>54488689.259999998</v>
      </c>
      <c r="G1595" s="2">
        <v>765165.91</v>
      </c>
    </row>
    <row r="1596" spans="1:7" x14ac:dyDescent="0.25">
      <c r="A1596" s="1">
        <v>45108</v>
      </c>
      <c r="B1596" t="s">
        <v>37</v>
      </c>
      <c r="C1596" t="s">
        <v>180</v>
      </c>
      <c r="D1596" s="2">
        <v>6418991.1299999999</v>
      </c>
      <c r="E1596" s="2">
        <v>39414062.539999999</v>
      </c>
      <c r="F1596" s="2">
        <v>49033109.380000003</v>
      </c>
      <c r="G1596" s="2">
        <v>1451023.24</v>
      </c>
    </row>
    <row r="1597" spans="1:7" x14ac:dyDescent="0.25">
      <c r="A1597" s="1">
        <v>45108</v>
      </c>
      <c r="B1597" t="s">
        <v>37</v>
      </c>
      <c r="C1597" t="s">
        <v>181</v>
      </c>
      <c r="D1597" s="2">
        <v>13265666.27</v>
      </c>
      <c r="E1597" s="2">
        <v>58570708</v>
      </c>
      <c r="F1597" s="2">
        <v>60757952.68</v>
      </c>
      <c r="G1597" s="2">
        <v>3594590.61</v>
      </c>
    </row>
    <row r="1598" spans="1:7" x14ac:dyDescent="0.25">
      <c r="A1598" s="1">
        <v>45108</v>
      </c>
      <c r="B1598" t="s">
        <v>37</v>
      </c>
      <c r="C1598" t="s">
        <v>182</v>
      </c>
      <c r="D1598" s="2">
        <v>4044475.7</v>
      </c>
      <c r="E1598" s="2">
        <v>43307466.450000003</v>
      </c>
      <c r="F1598" s="2">
        <v>53704962.060000002</v>
      </c>
      <c r="G1598" s="2">
        <v>1967738.38</v>
      </c>
    </row>
    <row r="1599" spans="1:7" x14ac:dyDescent="0.25">
      <c r="A1599" s="1">
        <v>45108</v>
      </c>
      <c r="B1599" t="s">
        <v>37</v>
      </c>
      <c r="C1599" t="s">
        <v>183</v>
      </c>
      <c r="D1599" s="2">
        <v>4804027.26</v>
      </c>
      <c r="E1599" s="2">
        <v>18210118.300000001</v>
      </c>
      <c r="F1599" s="2">
        <v>21318454.5</v>
      </c>
      <c r="G1599" s="2">
        <v>834087.09</v>
      </c>
    </row>
    <row r="1600" spans="1:7" x14ac:dyDescent="0.25">
      <c r="A1600" s="1">
        <v>45108</v>
      </c>
      <c r="B1600" t="s">
        <v>37</v>
      </c>
      <c r="C1600" t="s">
        <v>184</v>
      </c>
      <c r="D1600" s="2">
        <v>4608845.83</v>
      </c>
      <c r="E1600" s="2">
        <v>27913237.34</v>
      </c>
      <c r="F1600" s="2">
        <v>35335135.780000001</v>
      </c>
      <c r="G1600" s="2">
        <v>1033318.22</v>
      </c>
    </row>
    <row r="1601" spans="1:7" x14ac:dyDescent="0.25">
      <c r="A1601" s="1">
        <v>45108</v>
      </c>
      <c r="B1601" t="s">
        <v>37</v>
      </c>
      <c r="C1601" t="s">
        <v>185</v>
      </c>
      <c r="D1601" s="2">
        <v>18677692.09</v>
      </c>
      <c r="E1601" s="2">
        <v>26654912.43</v>
      </c>
      <c r="F1601" s="2">
        <v>30543292.109999999</v>
      </c>
      <c r="G1601" s="2">
        <v>1496477.3</v>
      </c>
    </row>
    <row r="1602" spans="1:7" x14ac:dyDescent="0.25">
      <c r="A1602" s="1">
        <v>45108</v>
      </c>
      <c r="B1602" t="s">
        <v>37</v>
      </c>
      <c r="C1602" t="s">
        <v>186</v>
      </c>
      <c r="D1602" s="2">
        <v>5130154.58</v>
      </c>
      <c r="E1602" s="2">
        <v>23656445.879999999</v>
      </c>
      <c r="F1602" s="2">
        <v>27931071.390000001</v>
      </c>
      <c r="G1602" s="2">
        <v>1472976.81</v>
      </c>
    </row>
    <row r="1603" spans="1:7" x14ac:dyDescent="0.25">
      <c r="A1603" s="1">
        <v>45108</v>
      </c>
      <c r="B1603" t="s">
        <v>37</v>
      </c>
      <c r="C1603" t="s">
        <v>187</v>
      </c>
      <c r="D1603" s="2">
        <v>3038664.47</v>
      </c>
      <c r="E1603" s="2">
        <v>23437106.440000001</v>
      </c>
      <c r="F1603" s="2">
        <v>27854716.219999999</v>
      </c>
      <c r="G1603" s="2">
        <v>622059.44999999995</v>
      </c>
    </row>
    <row r="1604" spans="1:7" x14ac:dyDescent="0.25">
      <c r="A1604" s="1">
        <v>45108</v>
      </c>
      <c r="B1604" t="s">
        <v>37</v>
      </c>
      <c r="C1604" t="s">
        <v>188</v>
      </c>
      <c r="D1604" s="2">
        <v>11120423.710000001</v>
      </c>
      <c r="E1604" s="2">
        <v>30120963.780000001</v>
      </c>
      <c r="F1604" s="2">
        <v>34571990.770000003</v>
      </c>
      <c r="G1604" s="2">
        <v>977923.86</v>
      </c>
    </row>
    <row r="1605" spans="1:7" x14ac:dyDescent="0.25">
      <c r="A1605" s="1">
        <v>45108</v>
      </c>
      <c r="B1605" t="s">
        <v>37</v>
      </c>
      <c r="C1605" t="s">
        <v>189</v>
      </c>
      <c r="D1605" s="2">
        <v>14766601.210000001</v>
      </c>
      <c r="E1605" s="2">
        <v>39629020.039999999</v>
      </c>
      <c r="F1605" s="2">
        <v>50587376.310000002</v>
      </c>
      <c r="G1605" s="2">
        <v>2072557.19</v>
      </c>
    </row>
    <row r="1606" spans="1:7" x14ac:dyDescent="0.25">
      <c r="A1606" s="1">
        <v>45108</v>
      </c>
      <c r="B1606" t="s">
        <v>37</v>
      </c>
      <c r="C1606" t="s">
        <v>190</v>
      </c>
      <c r="D1606" s="2">
        <v>4502211.04</v>
      </c>
      <c r="E1606" s="2">
        <v>31051995.190000001</v>
      </c>
      <c r="F1606" s="2">
        <v>35967919.93</v>
      </c>
      <c r="G1606" s="2">
        <v>2018774.68</v>
      </c>
    </row>
    <row r="1607" spans="1:7" x14ac:dyDescent="0.25">
      <c r="A1607" s="1">
        <v>45108</v>
      </c>
      <c r="B1607" t="s">
        <v>37</v>
      </c>
      <c r="C1607" t="s">
        <v>191</v>
      </c>
      <c r="D1607" s="2">
        <v>6548199.2300000004</v>
      </c>
      <c r="E1607" s="2">
        <v>43624526.359999999</v>
      </c>
      <c r="F1607" s="2">
        <v>50645915.210000001</v>
      </c>
      <c r="G1607" s="2">
        <v>634324.21</v>
      </c>
    </row>
    <row r="1608" spans="1:7" x14ac:dyDescent="0.25">
      <c r="A1608" s="1">
        <v>45108</v>
      </c>
      <c r="B1608" t="s">
        <v>192</v>
      </c>
      <c r="C1608" t="s">
        <v>193</v>
      </c>
      <c r="D1608" s="2">
        <v>98403429.260000005</v>
      </c>
      <c r="E1608" s="2">
        <v>30770856.300000001</v>
      </c>
      <c r="F1608" s="2">
        <v>38495062.090000004</v>
      </c>
      <c r="G1608">
        <v>600.6</v>
      </c>
    </row>
    <row r="1609" spans="1:7" x14ac:dyDescent="0.25">
      <c r="A1609" s="1">
        <v>45108</v>
      </c>
      <c r="B1609" t="s">
        <v>53</v>
      </c>
      <c r="C1609" t="s">
        <v>194</v>
      </c>
      <c r="D1609" s="2">
        <v>19982349.199999999</v>
      </c>
      <c r="E1609" s="2">
        <v>135174155</v>
      </c>
      <c r="F1609" s="2">
        <v>172774526.31999999</v>
      </c>
      <c r="G1609" s="2">
        <v>5126897.29</v>
      </c>
    </row>
    <row r="1610" spans="1:7" x14ac:dyDescent="0.25">
      <c r="A1610" s="1">
        <v>45108</v>
      </c>
      <c r="B1610" t="s">
        <v>37</v>
      </c>
      <c r="C1610" t="s">
        <v>195</v>
      </c>
      <c r="D1610" s="2">
        <v>316819144.01999998</v>
      </c>
      <c r="E1610" s="2">
        <v>23871145.09</v>
      </c>
      <c r="F1610" s="2">
        <v>26234130.579999998</v>
      </c>
      <c r="G1610" s="2">
        <v>780343.68</v>
      </c>
    </row>
    <row r="1611" spans="1:7" x14ac:dyDescent="0.25">
      <c r="A1611" s="1">
        <v>45108</v>
      </c>
      <c r="B1611" t="s">
        <v>192</v>
      </c>
      <c r="C1611" t="s">
        <v>196</v>
      </c>
      <c r="D1611" s="2">
        <v>213770374.52000001</v>
      </c>
      <c r="E1611" s="2">
        <v>63624904.740000002</v>
      </c>
      <c r="F1611" s="2">
        <v>70686866.579999998</v>
      </c>
      <c r="G1611" s="2">
        <v>255266.1</v>
      </c>
    </row>
    <row r="1612" spans="1:7" x14ac:dyDescent="0.25">
      <c r="A1612" s="1">
        <v>45108</v>
      </c>
      <c r="B1612" t="s">
        <v>61</v>
      </c>
      <c r="C1612" t="s">
        <v>197</v>
      </c>
      <c r="D1612" s="2">
        <v>61262.76</v>
      </c>
      <c r="E1612" s="2">
        <v>2251464.36</v>
      </c>
      <c r="F1612" s="2">
        <v>2374561.0099999998</v>
      </c>
      <c r="G1612" s="2">
        <v>47695.62</v>
      </c>
    </row>
    <row r="1613" spans="1:7" x14ac:dyDescent="0.25">
      <c r="A1613" s="1">
        <v>45108</v>
      </c>
      <c r="B1613" t="s">
        <v>125</v>
      </c>
      <c r="C1613" t="s">
        <v>198</v>
      </c>
      <c r="D1613" s="2">
        <v>660986104.32000005</v>
      </c>
      <c r="E1613" s="2">
        <v>8540041085.8199997</v>
      </c>
      <c r="F1613" s="2">
        <v>8875829879.5699997</v>
      </c>
      <c r="G1613" s="2">
        <v>9222726.2799999993</v>
      </c>
    </row>
    <row r="1614" spans="1:7" x14ac:dyDescent="0.25">
      <c r="A1614" s="1">
        <v>45108</v>
      </c>
      <c r="B1614" t="s">
        <v>63</v>
      </c>
      <c r="C1614" t="s">
        <v>199</v>
      </c>
      <c r="D1614" s="2">
        <v>189561119.13</v>
      </c>
      <c r="E1614" s="2">
        <v>478433735.32999998</v>
      </c>
      <c r="F1614" s="2">
        <v>577250077.09000003</v>
      </c>
      <c r="G1614" s="2">
        <v>35626805.759999998</v>
      </c>
    </row>
    <row r="1615" spans="1:7" x14ac:dyDescent="0.25">
      <c r="A1615" s="1">
        <v>45108</v>
      </c>
      <c r="B1615" t="s">
        <v>9</v>
      </c>
      <c r="C1615" t="s">
        <v>200</v>
      </c>
      <c r="D1615" s="2">
        <v>163933704.02000001</v>
      </c>
      <c r="E1615" s="2">
        <v>330124429.89999998</v>
      </c>
      <c r="F1615" s="2">
        <v>393042012.44999999</v>
      </c>
      <c r="G1615" s="2">
        <v>7080349.4100000001</v>
      </c>
    </row>
    <row r="1616" spans="1:7" x14ac:dyDescent="0.25">
      <c r="A1616" s="1">
        <v>45108</v>
      </c>
      <c r="B1616" t="s">
        <v>24</v>
      </c>
      <c r="C1616" t="s">
        <v>201</v>
      </c>
      <c r="D1616" s="2">
        <v>52982321.479999997</v>
      </c>
      <c r="E1616" s="2">
        <v>16756649.1</v>
      </c>
      <c r="F1616" s="2">
        <v>9460373.6799999997</v>
      </c>
      <c r="G1616" s="2">
        <v>3578078.37</v>
      </c>
    </row>
    <row r="1617" spans="1:7" x14ac:dyDescent="0.25">
      <c r="A1617" s="1">
        <v>45108</v>
      </c>
      <c r="B1617" t="s">
        <v>29</v>
      </c>
      <c r="C1617" t="s">
        <v>202</v>
      </c>
      <c r="D1617" s="2">
        <v>288206539.38</v>
      </c>
      <c r="E1617" s="2">
        <v>61882136.119999997</v>
      </c>
      <c r="F1617" s="2">
        <v>64979953.640000001</v>
      </c>
      <c r="G1617" s="2">
        <v>70621957.090000004</v>
      </c>
    </row>
    <row r="1618" spans="1:7" x14ac:dyDescent="0.25">
      <c r="A1618" s="1">
        <v>45108</v>
      </c>
      <c r="B1618" t="s">
        <v>37</v>
      </c>
      <c r="C1618" t="s">
        <v>203</v>
      </c>
      <c r="D1618" s="2">
        <v>128177875.41</v>
      </c>
      <c r="E1618" s="2">
        <v>82843886.219999999</v>
      </c>
      <c r="F1618" s="2">
        <v>106070403.48</v>
      </c>
      <c r="G1618" s="2">
        <v>1155637.1000000001</v>
      </c>
    </row>
    <row r="1619" spans="1:7" x14ac:dyDescent="0.25">
      <c r="A1619" s="1">
        <v>45108</v>
      </c>
      <c r="B1619" t="s">
        <v>45</v>
      </c>
      <c r="C1619" t="s">
        <v>204</v>
      </c>
      <c r="D1619" s="2">
        <v>41564478906.470001</v>
      </c>
      <c r="E1619" s="2">
        <v>343152867529.67999</v>
      </c>
      <c r="F1619" s="2">
        <v>343154273351.91998</v>
      </c>
      <c r="G1619" s="2">
        <v>44246541.960000001</v>
      </c>
    </row>
    <row r="1620" spans="1:7" x14ac:dyDescent="0.25">
      <c r="A1620" s="1">
        <v>45108</v>
      </c>
      <c r="B1620" t="s">
        <v>75</v>
      </c>
      <c r="C1620" t="s">
        <v>205</v>
      </c>
      <c r="D1620" s="2">
        <v>302069743.12</v>
      </c>
      <c r="E1620" s="2">
        <v>2709736109.98</v>
      </c>
      <c r="F1620" s="2">
        <v>3697222633.73</v>
      </c>
      <c r="G1620" s="2">
        <v>53188070.689999998</v>
      </c>
    </row>
    <row r="1621" spans="1:7" x14ac:dyDescent="0.25">
      <c r="A1621" s="1">
        <v>45108</v>
      </c>
      <c r="B1621" t="s">
        <v>206</v>
      </c>
      <c r="C1621" t="s">
        <v>207</v>
      </c>
      <c r="D1621" s="2">
        <v>4668418</v>
      </c>
      <c r="E1621" s="2">
        <v>124277.86</v>
      </c>
      <c r="F1621" s="2">
        <v>176943.2</v>
      </c>
      <c r="G1621">
        <v>0</v>
      </c>
    </row>
    <row r="1622" spans="1:7" x14ac:dyDescent="0.25">
      <c r="A1622" s="1">
        <v>45108</v>
      </c>
      <c r="B1622" t="s">
        <v>50</v>
      </c>
      <c r="C1622" t="s">
        <v>208</v>
      </c>
      <c r="D1622" s="2">
        <v>595065592.77999997</v>
      </c>
      <c r="E1622" s="2">
        <v>117919168.27</v>
      </c>
      <c r="F1622" s="2">
        <v>92960071.689999998</v>
      </c>
      <c r="G1622" s="2">
        <v>114658356.56999999</v>
      </c>
    </row>
    <row r="1623" spans="1:7" x14ac:dyDescent="0.25">
      <c r="A1623" s="1">
        <v>45108</v>
      </c>
      <c r="B1623" t="s">
        <v>31</v>
      </c>
      <c r="C1623" t="s">
        <v>209</v>
      </c>
      <c r="D1623" s="2">
        <v>54713508.020000003</v>
      </c>
      <c r="E1623" s="2">
        <v>58956201.270000003</v>
      </c>
      <c r="F1623" s="2">
        <v>72104187.849999994</v>
      </c>
      <c r="G1623" s="2">
        <v>22776026</v>
      </c>
    </row>
    <row r="1624" spans="1:7" x14ac:dyDescent="0.25">
      <c r="A1624" s="1">
        <v>45108</v>
      </c>
      <c r="B1624" t="s">
        <v>210</v>
      </c>
      <c r="C1624" t="s">
        <v>211</v>
      </c>
      <c r="D1624" s="2">
        <v>7978410.2699999996</v>
      </c>
      <c r="E1624" s="2">
        <v>1870849.96</v>
      </c>
      <c r="F1624" s="2">
        <v>250564.05</v>
      </c>
      <c r="G1624" s="2">
        <v>250000</v>
      </c>
    </row>
    <row r="1625" spans="1:7" x14ac:dyDescent="0.25">
      <c r="A1625" s="1">
        <v>45108</v>
      </c>
      <c r="B1625" t="s">
        <v>125</v>
      </c>
      <c r="C1625" t="s">
        <v>212</v>
      </c>
      <c r="D1625" s="2">
        <v>299937.5</v>
      </c>
      <c r="E1625" s="2">
        <v>904917.87</v>
      </c>
      <c r="F1625" s="2">
        <v>879998.47</v>
      </c>
      <c r="G1625">
        <v>0</v>
      </c>
    </row>
    <row r="1626" spans="1:7" x14ac:dyDescent="0.25">
      <c r="A1626" s="1">
        <v>45108</v>
      </c>
      <c r="B1626" t="s">
        <v>16</v>
      </c>
      <c r="C1626" t="s">
        <v>213</v>
      </c>
      <c r="D1626" s="2">
        <v>14810875998.92</v>
      </c>
      <c r="E1626" s="2">
        <v>12226017150.49</v>
      </c>
      <c r="F1626" s="2">
        <v>12378904904.26</v>
      </c>
      <c r="G1626" s="2">
        <v>498398041.69999999</v>
      </c>
    </row>
    <row r="1627" spans="1:7" x14ac:dyDescent="0.25">
      <c r="A1627" s="1">
        <v>45108</v>
      </c>
      <c r="B1627" t="s">
        <v>48</v>
      </c>
      <c r="C1627" t="s">
        <v>214</v>
      </c>
      <c r="D1627" s="2">
        <v>419599690.38999999</v>
      </c>
      <c r="E1627" s="2">
        <v>3546658285.02</v>
      </c>
      <c r="F1627" s="2">
        <v>3546973745.29</v>
      </c>
      <c r="G1627" s="2">
        <v>153254488.84999999</v>
      </c>
    </row>
    <row r="1628" spans="1:7" x14ac:dyDescent="0.25">
      <c r="A1628" s="1">
        <v>45108</v>
      </c>
      <c r="B1628" t="s">
        <v>27</v>
      </c>
      <c r="C1628" t="s">
        <v>215</v>
      </c>
      <c r="D1628" s="2">
        <v>3425272.97</v>
      </c>
      <c r="E1628" s="2">
        <v>13676437.470000001</v>
      </c>
      <c r="F1628" s="2">
        <v>15236703.66</v>
      </c>
      <c r="G1628" s="2">
        <v>4260577.87</v>
      </c>
    </row>
    <row r="1629" spans="1:7" x14ac:dyDescent="0.25">
      <c r="A1629" s="1">
        <v>45108</v>
      </c>
      <c r="B1629" t="s">
        <v>216</v>
      </c>
      <c r="C1629" t="s">
        <v>217</v>
      </c>
      <c r="D1629" s="2">
        <v>509277.97</v>
      </c>
      <c r="E1629" s="2">
        <v>109347.98</v>
      </c>
      <c r="F1629" s="2">
        <v>118971.48</v>
      </c>
      <c r="G1629" s="2">
        <v>16639459.689999999</v>
      </c>
    </row>
    <row r="1630" spans="1:7" x14ac:dyDescent="0.25">
      <c r="A1630" s="1">
        <v>45108</v>
      </c>
      <c r="B1630" t="s">
        <v>69</v>
      </c>
      <c r="C1630" t="s">
        <v>218</v>
      </c>
      <c r="D1630" s="2">
        <v>221851264.03</v>
      </c>
      <c r="E1630" s="2">
        <v>320459260.31</v>
      </c>
      <c r="F1630" s="2">
        <v>346655181.98000002</v>
      </c>
      <c r="G1630" s="2">
        <v>1591999.44</v>
      </c>
    </row>
    <row r="1631" spans="1:7" x14ac:dyDescent="0.25">
      <c r="A1631" s="1">
        <v>45108</v>
      </c>
      <c r="B1631" t="s">
        <v>13</v>
      </c>
      <c r="C1631" t="s">
        <v>219</v>
      </c>
      <c r="D1631" s="2">
        <v>52625273.460000001</v>
      </c>
      <c r="E1631" s="2">
        <v>28442324.120000001</v>
      </c>
      <c r="F1631" s="2">
        <v>34038050.729999997</v>
      </c>
      <c r="G1631" s="2">
        <v>2134.4499999999998</v>
      </c>
    </row>
    <row r="1632" spans="1:7" x14ac:dyDescent="0.25">
      <c r="A1632" s="1">
        <v>45108</v>
      </c>
      <c r="B1632" t="s">
        <v>53</v>
      </c>
      <c r="C1632" t="s">
        <v>220</v>
      </c>
      <c r="D1632" s="2">
        <v>137721864.03</v>
      </c>
      <c r="E1632" s="2">
        <v>259461509.22</v>
      </c>
      <c r="F1632" s="2">
        <v>256946438.28</v>
      </c>
      <c r="G1632" s="2">
        <v>6302277.2599999998</v>
      </c>
    </row>
    <row r="1633" spans="1:7" x14ac:dyDescent="0.25">
      <c r="A1633" s="1">
        <v>45108</v>
      </c>
      <c r="B1633" t="s">
        <v>130</v>
      </c>
      <c r="C1633" t="s">
        <v>221</v>
      </c>
      <c r="D1633" s="2">
        <v>71145806261.539993</v>
      </c>
      <c r="E1633" s="2">
        <v>13716886239.860001</v>
      </c>
      <c r="F1633" s="2">
        <v>13720769927.799999</v>
      </c>
      <c r="G1633" s="2">
        <v>37585686.950000003</v>
      </c>
    </row>
    <row r="1634" spans="1:7" x14ac:dyDescent="0.25">
      <c r="A1634" s="1">
        <v>45108</v>
      </c>
      <c r="B1634" t="s">
        <v>192</v>
      </c>
      <c r="C1634" t="s">
        <v>222</v>
      </c>
      <c r="D1634" s="2">
        <v>146733943.11000001</v>
      </c>
      <c r="E1634" s="2">
        <v>15578787.67</v>
      </c>
      <c r="F1634" s="2">
        <v>1657480.05</v>
      </c>
      <c r="G1634" s="2">
        <v>1281.25</v>
      </c>
    </row>
    <row r="1635" spans="1:7" x14ac:dyDescent="0.25">
      <c r="A1635" s="1">
        <v>45108</v>
      </c>
      <c r="B1635" t="s">
        <v>223</v>
      </c>
      <c r="C1635" t="s">
        <v>224</v>
      </c>
      <c r="D1635" s="2">
        <v>50467162.840000004</v>
      </c>
      <c r="E1635" s="2">
        <v>16928408.16</v>
      </c>
      <c r="F1635" s="2">
        <v>16693449.17</v>
      </c>
      <c r="G1635" s="2">
        <v>40306746.289999999</v>
      </c>
    </row>
    <row r="1636" spans="1:7" x14ac:dyDescent="0.25">
      <c r="A1636" s="1">
        <v>45108</v>
      </c>
      <c r="B1636" t="s">
        <v>22</v>
      </c>
      <c r="C1636" t="s">
        <v>225</v>
      </c>
      <c r="D1636" s="2">
        <v>5240615.59</v>
      </c>
      <c r="E1636" s="2">
        <v>16006398.07</v>
      </c>
      <c r="F1636" s="2">
        <v>20157356.789999999</v>
      </c>
      <c r="G1636" s="2">
        <v>1643520.9</v>
      </c>
    </row>
    <row r="1637" spans="1:7" x14ac:dyDescent="0.25">
      <c r="A1637" s="1">
        <v>45108</v>
      </c>
      <c r="B1637" t="s">
        <v>77</v>
      </c>
      <c r="C1637" t="s">
        <v>226</v>
      </c>
      <c r="D1637" s="2">
        <v>6355284.3300000001</v>
      </c>
      <c r="E1637" s="2">
        <v>6060097.21</v>
      </c>
      <c r="F1637" s="2">
        <v>6060097.21</v>
      </c>
      <c r="G1637" s="2">
        <v>48627405</v>
      </c>
    </row>
    <row r="1638" spans="1:7" x14ac:dyDescent="0.25">
      <c r="A1638" s="1">
        <v>45108</v>
      </c>
      <c r="B1638" t="s">
        <v>80</v>
      </c>
      <c r="C1638" t="s">
        <v>227</v>
      </c>
      <c r="D1638" s="2">
        <v>9645794.4199999999</v>
      </c>
      <c r="E1638" s="2">
        <v>290388299.60000002</v>
      </c>
      <c r="F1638" s="2">
        <v>335167579.00999999</v>
      </c>
      <c r="G1638" s="2">
        <v>1479900.19</v>
      </c>
    </row>
    <row r="1639" spans="1:7" x14ac:dyDescent="0.25">
      <c r="A1639" s="1">
        <v>45108</v>
      </c>
      <c r="B1639" t="s">
        <v>127</v>
      </c>
      <c r="C1639" t="s">
        <v>228</v>
      </c>
      <c r="D1639" s="2">
        <v>6217525.4100000001</v>
      </c>
      <c r="E1639" s="2">
        <v>5658665.1500000004</v>
      </c>
      <c r="F1639" s="2">
        <v>18808598.27</v>
      </c>
      <c r="G1639" s="2">
        <v>44889027.390000001</v>
      </c>
    </row>
    <row r="1640" spans="1:7" x14ac:dyDescent="0.25">
      <c r="A1640" s="1">
        <v>45108</v>
      </c>
      <c r="B1640" t="s">
        <v>140</v>
      </c>
      <c r="C1640" t="s">
        <v>229</v>
      </c>
      <c r="D1640" s="2">
        <v>6667163.9199999999</v>
      </c>
      <c r="E1640" s="2">
        <v>12442436.279999999</v>
      </c>
      <c r="F1640" s="2">
        <v>12104608.880000001</v>
      </c>
      <c r="G1640" s="2">
        <v>5256660.1900000004</v>
      </c>
    </row>
    <row r="1641" spans="1:7" x14ac:dyDescent="0.25">
      <c r="A1641" s="1">
        <v>45108</v>
      </c>
      <c r="B1641" t="s">
        <v>19</v>
      </c>
      <c r="C1641" t="s">
        <v>230</v>
      </c>
      <c r="D1641" s="2">
        <v>31718714.27</v>
      </c>
      <c r="E1641" s="2">
        <v>27238348.07</v>
      </c>
      <c r="F1641" s="2">
        <v>32818375.59</v>
      </c>
      <c r="G1641" s="2">
        <v>215534.88</v>
      </c>
    </row>
    <row r="1642" spans="1:7" x14ac:dyDescent="0.25">
      <c r="A1642" s="1">
        <v>45108</v>
      </c>
      <c r="B1642" t="s">
        <v>13</v>
      </c>
      <c r="C1642" t="s">
        <v>231</v>
      </c>
      <c r="D1642" s="2">
        <v>2272722.02</v>
      </c>
      <c r="E1642" s="2">
        <v>40854199.969999999</v>
      </c>
      <c r="F1642" s="2">
        <v>43065953.509999998</v>
      </c>
      <c r="G1642" s="2">
        <v>155533.95000000001</v>
      </c>
    </row>
    <row r="1643" spans="1:7" x14ac:dyDescent="0.25">
      <c r="A1643" s="1">
        <v>45108</v>
      </c>
      <c r="B1643" t="s">
        <v>31</v>
      </c>
      <c r="C1643" t="s">
        <v>232</v>
      </c>
      <c r="D1643" s="2">
        <v>332125228.31</v>
      </c>
      <c r="E1643" s="2">
        <v>717708689.64999998</v>
      </c>
      <c r="F1643" s="2">
        <v>873702876.53999996</v>
      </c>
      <c r="G1643" s="2">
        <v>36442451.920000002</v>
      </c>
    </row>
    <row r="1644" spans="1:7" x14ac:dyDescent="0.25">
      <c r="A1644" s="1">
        <v>45108</v>
      </c>
      <c r="B1644" t="s">
        <v>31</v>
      </c>
      <c r="C1644" t="s">
        <v>233</v>
      </c>
      <c r="D1644" s="2">
        <v>259112489.36000001</v>
      </c>
      <c r="E1644" s="2">
        <v>467384597.33999997</v>
      </c>
      <c r="F1644" s="2">
        <v>583003307.05999994</v>
      </c>
      <c r="G1644" s="2">
        <v>12394074.960000001</v>
      </c>
    </row>
    <row r="1645" spans="1:7" x14ac:dyDescent="0.25">
      <c r="A1645" s="1">
        <v>45108</v>
      </c>
      <c r="B1645" t="s">
        <v>61</v>
      </c>
      <c r="C1645" t="s">
        <v>234</v>
      </c>
      <c r="D1645" s="2">
        <v>267062970.87</v>
      </c>
      <c r="E1645" s="2">
        <v>99095905.239999995</v>
      </c>
      <c r="F1645" s="2">
        <v>116337663.29000001</v>
      </c>
      <c r="G1645" s="2">
        <v>4607563.95</v>
      </c>
    </row>
    <row r="1646" spans="1:7" x14ac:dyDescent="0.25">
      <c r="A1646" s="1">
        <v>45108</v>
      </c>
      <c r="B1646" t="s">
        <v>22</v>
      </c>
      <c r="C1646" t="s">
        <v>235</v>
      </c>
      <c r="D1646" s="2">
        <v>114835.02</v>
      </c>
      <c r="E1646" s="2">
        <v>461033.43</v>
      </c>
      <c r="F1646" s="2">
        <v>410227.79</v>
      </c>
      <c r="G1646" s="2">
        <v>1019935.63</v>
      </c>
    </row>
    <row r="1647" spans="1:7" x14ac:dyDescent="0.25">
      <c r="A1647" s="1">
        <v>45108</v>
      </c>
      <c r="B1647" t="s">
        <v>192</v>
      </c>
      <c r="C1647" t="s">
        <v>236</v>
      </c>
      <c r="D1647" s="2">
        <v>2362138.04</v>
      </c>
      <c r="E1647" s="2">
        <v>12590516.609999999</v>
      </c>
      <c r="F1647" s="2">
        <v>14010584.49</v>
      </c>
      <c r="G1647" s="2">
        <v>8304.57</v>
      </c>
    </row>
    <row r="1648" spans="1:7" x14ac:dyDescent="0.25">
      <c r="A1648" s="1">
        <v>45108</v>
      </c>
      <c r="B1648" t="s">
        <v>50</v>
      </c>
      <c r="C1648" t="s">
        <v>237</v>
      </c>
      <c r="D1648" s="2">
        <v>179489.33</v>
      </c>
      <c r="E1648" s="2">
        <v>2364282.71</v>
      </c>
      <c r="F1648" s="2">
        <v>2601325.5699999998</v>
      </c>
      <c r="G1648" s="2">
        <v>15568022.029999999</v>
      </c>
    </row>
    <row r="1649" spans="1:7" x14ac:dyDescent="0.25">
      <c r="A1649" s="1">
        <v>45108</v>
      </c>
      <c r="B1649" t="s">
        <v>45</v>
      </c>
      <c r="C1649" t="s">
        <v>238</v>
      </c>
      <c r="D1649" s="2">
        <v>1468128.83</v>
      </c>
      <c r="E1649" s="2">
        <v>19376239.620000001</v>
      </c>
      <c r="F1649" s="2">
        <v>24579968.170000002</v>
      </c>
      <c r="G1649">
        <v>0</v>
      </c>
    </row>
    <row r="1650" spans="1:7" x14ac:dyDescent="0.25">
      <c r="A1650" s="1">
        <v>45108</v>
      </c>
      <c r="B1650" t="s">
        <v>50</v>
      </c>
      <c r="C1650" t="s">
        <v>239</v>
      </c>
      <c r="D1650" s="2">
        <v>3730093.8</v>
      </c>
      <c r="E1650" s="2">
        <v>3228724.85</v>
      </c>
      <c r="F1650" s="2">
        <v>4012901.25</v>
      </c>
      <c r="G1650" s="2">
        <v>16506728.77</v>
      </c>
    </row>
    <row r="1651" spans="1:7" x14ac:dyDescent="0.25">
      <c r="A1651" s="1">
        <v>45108</v>
      </c>
      <c r="B1651" t="s">
        <v>50</v>
      </c>
      <c r="C1651" t="s">
        <v>240</v>
      </c>
      <c r="D1651" s="2">
        <v>3630149.81</v>
      </c>
      <c r="E1651" s="2">
        <v>3709466.59</v>
      </c>
      <c r="F1651" s="2">
        <v>4186192.72</v>
      </c>
      <c r="G1651" s="2">
        <v>251626.57</v>
      </c>
    </row>
    <row r="1652" spans="1:7" x14ac:dyDescent="0.25">
      <c r="A1652" s="1">
        <v>45108</v>
      </c>
      <c r="B1652" t="s">
        <v>125</v>
      </c>
      <c r="C1652" t="s">
        <v>241</v>
      </c>
      <c r="D1652" s="2">
        <v>2542388.11</v>
      </c>
      <c r="E1652" s="2">
        <v>2998641.91</v>
      </c>
      <c r="F1652" s="2">
        <v>3903933.93</v>
      </c>
      <c r="G1652" s="2">
        <v>1200980.55</v>
      </c>
    </row>
    <row r="1653" spans="1:7" x14ac:dyDescent="0.25">
      <c r="A1653" s="1">
        <v>45108</v>
      </c>
      <c r="B1653" t="s">
        <v>27</v>
      </c>
      <c r="C1653" t="s">
        <v>242</v>
      </c>
      <c r="D1653" s="2">
        <v>10154286.550000001</v>
      </c>
      <c r="E1653" s="2">
        <v>43606113.170000002</v>
      </c>
      <c r="F1653" s="2">
        <v>43992513.479999997</v>
      </c>
      <c r="G1653" s="2">
        <v>971331.91</v>
      </c>
    </row>
    <row r="1654" spans="1:7" x14ac:dyDescent="0.25">
      <c r="A1654" s="1">
        <v>45108</v>
      </c>
      <c r="B1654" t="s">
        <v>37</v>
      </c>
      <c r="C1654" t="s">
        <v>243</v>
      </c>
      <c r="D1654" s="2">
        <v>69516115.430000007</v>
      </c>
      <c r="E1654" s="2">
        <v>13601702.810000001</v>
      </c>
      <c r="F1654" s="2">
        <v>17176794.550000001</v>
      </c>
      <c r="G1654" s="2">
        <v>935257.82</v>
      </c>
    </row>
    <row r="1655" spans="1:7" x14ac:dyDescent="0.25">
      <c r="A1655" s="1">
        <v>45108</v>
      </c>
      <c r="B1655" t="s">
        <v>37</v>
      </c>
      <c r="C1655" t="s">
        <v>244</v>
      </c>
      <c r="D1655" s="2">
        <v>40079872.950000003</v>
      </c>
      <c r="E1655" s="2">
        <v>175209423.27000001</v>
      </c>
      <c r="F1655" s="2">
        <v>218460364.47999999</v>
      </c>
      <c r="G1655" s="2">
        <v>953864.59</v>
      </c>
    </row>
    <row r="1656" spans="1:7" x14ac:dyDescent="0.25">
      <c r="A1656" s="1">
        <v>45108</v>
      </c>
      <c r="B1656" t="s">
        <v>37</v>
      </c>
      <c r="C1656" t="s">
        <v>245</v>
      </c>
      <c r="D1656" s="2">
        <v>10430366.289999999</v>
      </c>
      <c r="E1656" s="2">
        <v>26715254.91</v>
      </c>
      <c r="F1656" s="2">
        <v>32606835.280000001</v>
      </c>
      <c r="G1656" s="2">
        <v>3028753.12</v>
      </c>
    </row>
    <row r="1657" spans="1:7" x14ac:dyDescent="0.25">
      <c r="A1657" s="1">
        <v>45108</v>
      </c>
      <c r="B1657" t="s">
        <v>37</v>
      </c>
      <c r="C1657" t="s">
        <v>246</v>
      </c>
      <c r="D1657" s="2">
        <v>22759229.489999998</v>
      </c>
      <c r="E1657" s="2">
        <v>14358153.279999999</v>
      </c>
      <c r="F1657" s="2">
        <v>17527115.780000001</v>
      </c>
      <c r="G1657" s="2">
        <v>548408.14</v>
      </c>
    </row>
    <row r="1658" spans="1:7" x14ac:dyDescent="0.25">
      <c r="A1658" s="1">
        <v>45108</v>
      </c>
      <c r="B1658" t="s">
        <v>37</v>
      </c>
      <c r="C1658" t="s">
        <v>247</v>
      </c>
      <c r="D1658" s="2">
        <v>17109370.620000001</v>
      </c>
      <c r="E1658" s="2">
        <v>164876645.41999999</v>
      </c>
      <c r="F1658" s="2">
        <v>201613747.5</v>
      </c>
      <c r="G1658" s="2">
        <v>1346065.77</v>
      </c>
    </row>
    <row r="1659" spans="1:7" x14ac:dyDescent="0.25">
      <c r="A1659" s="1">
        <v>45108</v>
      </c>
      <c r="B1659" t="s">
        <v>37</v>
      </c>
      <c r="C1659" t="s">
        <v>248</v>
      </c>
      <c r="D1659" s="2">
        <v>36682.68</v>
      </c>
      <c r="E1659" s="2">
        <v>84601594.329999998</v>
      </c>
      <c r="F1659" s="2">
        <v>107805610.98</v>
      </c>
      <c r="G1659" s="2">
        <v>1551701.41</v>
      </c>
    </row>
    <row r="1660" spans="1:7" x14ac:dyDescent="0.25">
      <c r="A1660" s="1">
        <v>45108</v>
      </c>
      <c r="B1660" t="s">
        <v>37</v>
      </c>
      <c r="C1660" t="s">
        <v>249</v>
      </c>
      <c r="D1660" s="2">
        <v>13288311.99</v>
      </c>
      <c r="E1660" s="2">
        <v>24113802.75</v>
      </c>
      <c r="F1660" s="2">
        <v>25860267.600000001</v>
      </c>
      <c r="G1660" s="2">
        <v>542829.75</v>
      </c>
    </row>
    <row r="1661" spans="1:7" x14ac:dyDescent="0.25">
      <c r="A1661" s="1">
        <v>45108</v>
      </c>
      <c r="B1661" t="s">
        <v>37</v>
      </c>
      <c r="C1661" t="s">
        <v>250</v>
      </c>
      <c r="D1661" s="2">
        <v>28074545.710000001</v>
      </c>
      <c r="E1661" s="2">
        <v>67616221.5</v>
      </c>
      <c r="F1661" s="2">
        <v>74694285.189999998</v>
      </c>
      <c r="G1661" s="2">
        <v>653952.65</v>
      </c>
    </row>
    <row r="1662" spans="1:7" x14ac:dyDescent="0.25">
      <c r="A1662" s="1">
        <v>45108</v>
      </c>
      <c r="B1662" t="s">
        <v>37</v>
      </c>
      <c r="C1662" t="s">
        <v>251</v>
      </c>
      <c r="D1662" s="2">
        <v>47979507.710000001</v>
      </c>
      <c r="E1662" s="2">
        <v>9793312.3800000008</v>
      </c>
      <c r="F1662" s="2">
        <v>11784503.43</v>
      </c>
      <c r="G1662" s="2">
        <v>459781.27</v>
      </c>
    </row>
    <row r="1663" spans="1:7" x14ac:dyDescent="0.25">
      <c r="A1663" s="1">
        <v>45108</v>
      </c>
      <c r="B1663" t="s">
        <v>37</v>
      </c>
      <c r="C1663" t="s">
        <v>252</v>
      </c>
      <c r="D1663" s="2">
        <v>17884632.640000001</v>
      </c>
      <c r="E1663" s="2">
        <v>121187879.76000001</v>
      </c>
      <c r="F1663" s="2">
        <v>147457436.18000001</v>
      </c>
      <c r="G1663" s="2">
        <v>123158.09</v>
      </c>
    </row>
    <row r="1664" spans="1:7" x14ac:dyDescent="0.25">
      <c r="A1664" s="1">
        <v>45108</v>
      </c>
      <c r="B1664" t="s">
        <v>37</v>
      </c>
      <c r="C1664" t="s">
        <v>253</v>
      </c>
      <c r="D1664" s="2">
        <v>6464331.0999999996</v>
      </c>
      <c r="E1664" s="2">
        <v>21331264.940000001</v>
      </c>
      <c r="F1664" s="2">
        <v>26728342.879999999</v>
      </c>
      <c r="G1664" s="2">
        <v>570719.39</v>
      </c>
    </row>
    <row r="1665" spans="1:7" x14ac:dyDescent="0.25">
      <c r="A1665" s="1">
        <v>45108</v>
      </c>
      <c r="B1665" t="s">
        <v>37</v>
      </c>
      <c r="C1665" t="s">
        <v>254</v>
      </c>
      <c r="D1665" s="2">
        <v>1458244.61</v>
      </c>
      <c r="E1665" s="2">
        <v>9509310.2400000002</v>
      </c>
      <c r="F1665" s="2">
        <v>11805941.74</v>
      </c>
      <c r="G1665" s="2">
        <v>11825</v>
      </c>
    </row>
    <row r="1666" spans="1:7" x14ac:dyDescent="0.25">
      <c r="A1666" s="1">
        <v>45108</v>
      </c>
      <c r="B1666" t="s">
        <v>37</v>
      </c>
      <c r="C1666" t="s">
        <v>255</v>
      </c>
      <c r="D1666" s="2">
        <v>81652686.019999996</v>
      </c>
      <c r="E1666" s="2">
        <v>92201259.480000004</v>
      </c>
      <c r="F1666" s="2">
        <v>114148508.45999999</v>
      </c>
      <c r="G1666" s="2">
        <v>1177178.83</v>
      </c>
    </row>
    <row r="1667" spans="1:7" x14ac:dyDescent="0.25">
      <c r="A1667" s="1">
        <v>45108</v>
      </c>
      <c r="B1667" t="s">
        <v>37</v>
      </c>
      <c r="C1667" t="s">
        <v>256</v>
      </c>
      <c r="D1667" s="2">
        <v>49845012.700000003</v>
      </c>
      <c r="E1667" s="2">
        <v>37831777.340000004</v>
      </c>
      <c r="F1667" s="2">
        <v>43661552.43</v>
      </c>
      <c r="G1667" s="2">
        <v>2157498.0299999998</v>
      </c>
    </row>
    <row r="1668" spans="1:7" x14ac:dyDescent="0.25">
      <c r="A1668" s="1">
        <v>45108</v>
      </c>
      <c r="B1668" t="s">
        <v>37</v>
      </c>
      <c r="C1668" t="s">
        <v>257</v>
      </c>
      <c r="D1668" s="2">
        <v>31651634</v>
      </c>
      <c r="E1668" s="2">
        <v>218853445.00999999</v>
      </c>
      <c r="F1668" s="2">
        <v>288430742.51999998</v>
      </c>
      <c r="G1668" s="2">
        <v>2094994.13</v>
      </c>
    </row>
    <row r="1669" spans="1:7" x14ac:dyDescent="0.25">
      <c r="A1669" s="1">
        <v>45108</v>
      </c>
      <c r="B1669" t="s">
        <v>37</v>
      </c>
      <c r="C1669" t="s">
        <v>258</v>
      </c>
      <c r="D1669" s="2">
        <v>7256496.3099999996</v>
      </c>
      <c r="E1669" s="2">
        <v>42846021.939999998</v>
      </c>
      <c r="F1669" s="2">
        <v>57145353.899999999</v>
      </c>
      <c r="G1669" s="2">
        <v>626382.96</v>
      </c>
    </row>
    <row r="1670" spans="1:7" x14ac:dyDescent="0.25">
      <c r="A1670" s="1">
        <v>45108</v>
      </c>
      <c r="B1670" t="s">
        <v>37</v>
      </c>
      <c r="C1670" t="s">
        <v>259</v>
      </c>
      <c r="D1670" s="2">
        <v>135278398.13999999</v>
      </c>
      <c r="E1670" s="2">
        <v>163736512.33000001</v>
      </c>
      <c r="F1670" s="2">
        <v>204859796.41</v>
      </c>
      <c r="G1670" s="2">
        <v>3000217.67</v>
      </c>
    </row>
    <row r="1671" spans="1:7" x14ac:dyDescent="0.25">
      <c r="A1671" s="1">
        <v>45108</v>
      </c>
      <c r="B1671" t="s">
        <v>37</v>
      </c>
      <c r="C1671" t="s">
        <v>260</v>
      </c>
      <c r="D1671" s="2">
        <v>1113790.55</v>
      </c>
      <c r="E1671" s="2">
        <v>7270361.5999999996</v>
      </c>
      <c r="F1671" s="2">
        <v>9053733.1999999993</v>
      </c>
      <c r="G1671" s="2">
        <v>353225.99</v>
      </c>
    </row>
    <row r="1672" spans="1:7" x14ac:dyDescent="0.25">
      <c r="A1672" s="1">
        <v>45108</v>
      </c>
      <c r="B1672" t="s">
        <v>37</v>
      </c>
      <c r="C1672" t="s">
        <v>261</v>
      </c>
      <c r="D1672" s="2">
        <v>15476345.02</v>
      </c>
      <c r="E1672" s="2">
        <v>21808148.949999999</v>
      </c>
      <c r="F1672" s="2">
        <v>27726484.77</v>
      </c>
      <c r="G1672" s="2">
        <v>614121.92000000004</v>
      </c>
    </row>
    <row r="1673" spans="1:7" x14ac:dyDescent="0.25">
      <c r="A1673" s="1">
        <v>45108</v>
      </c>
      <c r="B1673" t="s">
        <v>37</v>
      </c>
      <c r="C1673" t="s">
        <v>262</v>
      </c>
      <c r="D1673" s="2">
        <v>46926218.649999999</v>
      </c>
      <c r="E1673" s="2">
        <v>162996803.88999999</v>
      </c>
      <c r="F1673" s="2">
        <v>211666584.31999999</v>
      </c>
      <c r="G1673" s="2">
        <v>4318746.7300000004</v>
      </c>
    </row>
    <row r="1674" spans="1:7" x14ac:dyDescent="0.25">
      <c r="A1674" s="1">
        <v>45108</v>
      </c>
      <c r="B1674" t="s">
        <v>37</v>
      </c>
      <c r="C1674" t="s">
        <v>263</v>
      </c>
      <c r="D1674" s="2">
        <v>50944221.460000001</v>
      </c>
      <c r="E1674" s="2">
        <v>127036922.65000001</v>
      </c>
      <c r="F1674" s="2">
        <v>160755028.97</v>
      </c>
      <c r="G1674" s="2">
        <v>944765.43</v>
      </c>
    </row>
    <row r="1675" spans="1:7" x14ac:dyDescent="0.25">
      <c r="A1675" s="1">
        <v>45108</v>
      </c>
      <c r="B1675" t="s">
        <v>37</v>
      </c>
      <c r="C1675" t="s">
        <v>264</v>
      </c>
      <c r="D1675" s="2">
        <v>18249733.780000001</v>
      </c>
      <c r="E1675" s="2">
        <v>124913538.73</v>
      </c>
      <c r="F1675" s="2">
        <v>164550552.00999999</v>
      </c>
      <c r="G1675" s="2">
        <v>2779792.58</v>
      </c>
    </row>
    <row r="1676" spans="1:7" x14ac:dyDescent="0.25">
      <c r="A1676" s="1">
        <v>45108</v>
      </c>
      <c r="B1676" t="s">
        <v>37</v>
      </c>
      <c r="C1676" t="s">
        <v>265</v>
      </c>
      <c r="D1676" s="2">
        <v>42053077.829999998</v>
      </c>
      <c r="E1676" s="2">
        <v>83196919.340000004</v>
      </c>
      <c r="F1676" s="2">
        <v>108693053.7</v>
      </c>
      <c r="G1676" s="2">
        <v>2860617.5</v>
      </c>
    </row>
    <row r="1677" spans="1:7" x14ac:dyDescent="0.25">
      <c r="A1677" s="1">
        <v>45108</v>
      </c>
      <c r="B1677" t="s">
        <v>37</v>
      </c>
      <c r="C1677" t="s">
        <v>266</v>
      </c>
      <c r="D1677" s="2">
        <v>6285840.3200000003</v>
      </c>
      <c r="E1677" s="2">
        <v>4538818.1900000004</v>
      </c>
      <c r="F1677" s="2">
        <v>5801762.7599999998</v>
      </c>
      <c r="G1677" s="2">
        <v>230546.59</v>
      </c>
    </row>
    <row r="1678" spans="1:7" x14ac:dyDescent="0.25">
      <c r="A1678" s="1">
        <v>45108</v>
      </c>
      <c r="B1678" t="s">
        <v>37</v>
      </c>
      <c r="C1678" t="s">
        <v>267</v>
      </c>
      <c r="D1678" s="2">
        <v>3466387.63</v>
      </c>
      <c r="E1678" s="2">
        <v>11400685.289999999</v>
      </c>
      <c r="F1678" s="2">
        <v>13635722.859999999</v>
      </c>
      <c r="G1678" s="2">
        <v>1016430.25</v>
      </c>
    </row>
    <row r="1679" spans="1:7" x14ac:dyDescent="0.25">
      <c r="A1679" s="1">
        <v>45108</v>
      </c>
      <c r="B1679" t="s">
        <v>37</v>
      </c>
      <c r="C1679" t="s">
        <v>268</v>
      </c>
      <c r="D1679" s="2">
        <v>16504956.310000001</v>
      </c>
      <c r="E1679" s="2">
        <v>150375442.63</v>
      </c>
      <c r="F1679" s="2">
        <v>210647688.34999999</v>
      </c>
      <c r="G1679" s="2">
        <v>2456971.34</v>
      </c>
    </row>
    <row r="1680" spans="1:7" x14ac:dyDescent="0.25">
      <c r="A1680" s="1">
        <v>45108</v>
      </c>
      <c r="B1680" t="s">
        <v>37</v>
      </c>
      <c r="C1680" t="s">
        <v>269</v>
      </c>
      <c r="D1680" s="2">
        <v>7164390.2800000003</v>
      </c>
      <c r="E1680" s="2">
        <v>6145480.5700000003</v>
      </c>
      <c r="F1680" s="2">
        <v>7709330.3799999999</v>
      </c>
      <c r="G1680" s="2">
        <v>187485.12</v>
      </c>
    </row>
    <row r="1681" spans="1:7" x14ac:dyDescent="0.25">
      <c r="A1681" s="1">
        <v>45108</v>
      </c>
      <c r="B1681" t="s">
        <v>37</v>
      </c>
      <c r="C1681" t="s">
        <v>270</v>
      </c>
      <c r="D1681" s="2">
        <v>26528551.329999998</v>
      </c>
      <c r="E1681" s="2">
        <v>95123279.200000003</v>
      </c>
      <c r="F1681" s="2">
        <v>124410383.93000001</v>
      </c>
      <c r="G1681" s="2">
        <v>2096707.78</v>
      </c>
    </row>
    <row r="1682" spans="1:7" x14ac:dyDescent="0.25">
      <c r="A1682" s="1">
        <v>45108</v>
      </c>
      <c r="B1682" t="s">
        <v>37</v>
      </c>
      <c r="C1682" t="s">
        <v>271</v>
      </c>
      <c r="D1682" s="2">
        <v>2465926.4700000002</v>
      </c>
      <c r="E1682" s="2">
        <v>50229750.880000003</v>
      </c>
      <c r="F1682" s="2">
        <v>67311703.049999997</v>
      </c>
      <c r="G1682" s="2">
        <v>268454.17</v>
      </c>
    </row>
    <row r="1683" spans="1:7" x14ac:dyDescent="0.25">
      <c r="A1683" s="1">
        <v>45108</v>
      </c>
      <c r="B1683" t="s">
        <v>37</v>
      </c>
      <c r="C1683" t="s">
        <v>272</v>
      </c>
      <c r="D1683" s="2">
        <v>1466800</v>
      </c>
      <c r="E1683" s="2">
        <v>365430</v>
      </c>
      <c r="F1683" s="2">
        <v>413610.58</v>
      </c>
      <c r="G1683" s="2">
        <v>8400</v>
      </c>
    </row>
    <row r="1684" spans="1:7" x14ac:dyDescent="0.25">
      <c r="A1684" s="1">
        <v>45108</v>
      </c>
      <c r="B1684" t="s">
        <v>37</v>
      </c>
      <c r="C1684" t="s">
        <v>273</v>
      </c>
      <c r="D1684" s="2">
        <v>8613376.1400000006</v>
      </c>
      <c r="E1684" s="2">
        <v>10072439.039999999</v>
      </c>
      <c r="F1684" s="2">
        <v>12363388.74</v>
      </c>
      <c r="G1684" s="2">
        <v>336253.93</v>
      </c>
    </row>
    <row r="1685" spans="1:7" x14ac:dyDescent="0.25">
      <c r="A1685" s="1">
        <v>45108</v>
      </c>
      <c r="B1685" t="s">
        <v>37</v>
      </c>
      <c r="C1685" t="s">
        <v>274</v>
      </c>
      <c r="D1685" s="2">
        <v>19358148.899999999</v>
      </c>
      <c r="E1685" s="2">
        <v>19246314.890000001</v>
      </c>
      <c r="F1685" s="2">
        <v>23199490.649999999</v>
      </c>
      <c r="G1685" s="2">
        <v>430508.93</v>
      </c>
    </row>
    <row r="1686" spans="1:7" x14ac:dyDescent="0.25">
      <c r="A1686" s="1">
        <v>45108</v>
      </c>
      <c r="B1686" t="s">
        <v>37</v>
      </c>
      <c r="C1686" t="s">
        <v>275</v>
      </c>
      <c r="D1686" s="2">
        <v>39174116.969999999</v>
      </c>
      <c r="E1686" s="2">
        <v>169055921.87</v>
      </c>
      <c r="F1686" s="2">
        <v>222678782.62</v>
      </c>
      <c r="G1686" s="2">
        <v>57770.080000000002</v>
      </c>
    </row>
    <row r="1687" spans="1:7" x14ac:dyDescent="0.25">
      <c r="A1687" s="1">
        <v>45108</v>
      </c>
      <c r="B1687" t="s">
        <v>37</v>
      </c>
      <c r="C1687" t="s">
        <v>276</v>
      </c>
      <c r="D1687" s="2">
        <v>88614448.790000007</v>
      </c>
      <c r="E1687" s="2">
        <v>143105335.22999999</v>
      </c>
      <c r="F1687" s="2">
        <v>182509046.88</v>
      </c>
      <c r="G1687" s="2">
        <v>3272888.44</v>
      </c>
    </row>
    <row r="1688" spans="1:7" x14ac:dyDescent="0.25">
      <c r="A1688" s="1">
        <v>45108</v>
      </c>
      <c r="B1688" t="s">
        <v>37</v>
      </c>
      <c r="C1688" t="s">
        <v>277</v>
      </c>
      <c r="D1688" s="2">
        <v>2636760.58</v>
      </c>
      <c r="E1688" s="2">
        <v>30357215.07</v>
      </c>
      <c r="F1688" s="2">
        <v>36501228.390000001</v>
      </c>
      <c r="G1688" s="2">
        <v>1610617.25</v>
      </c>
    </row>
    <row r="1689" spans="1:7" x14ac:dyDescent="0.25">
      <c r="A1689" s="1">
        <v>45108</v>
      </c>
      <c r="B1689" t="s">
        <v>37</v>
      </c>
      <c r="C1689" t="s">
        <v>278</v>
      </c>
      <c r="D1689" s="2">
        <v>150841775.28999999</v>
      </c>
      <c r="E1689" s="2">
        <v>348758275.75</v>
      </c>
      <c r="F1689" s="2">
        <v>444141479.48000002</v>
      </c>
      <c r="G1689" s="2">
        <v>2394127.12</v>
      </c>
    </row>
    <row r="1690" spans="1:7" x14ac:dyDescent="0.25">
      <c r="A1690" s="1">
        <v>45108</v>
      </c>
      <c r="B1690" t="s">
        <v>37</v>
      </c>
      <c r="C1690" t="s">
        <v>279</v>
      </c>
      <c r="D1690" s="2">
        <v>22312652.25</v>
      </c>
      <c r="E1690" s="2">
        <v>55425624.780000001</v>
      </c>
      <c r="F1690" s="2">
        <v>67250271.5</v>
      </c>
      <c r="G1690" s="2">
        <v>221315.38</v>
      </c>
    </row>
    <row r="1691" spans="1:7" x14ac:dyDescent="0.25">
      <c r="A1691" s="1">
        <v>45108</v>
      </c>
      <c r="B1691" t="s">
        <v>37</v>
      </c>
      <c r="C1691" t="s">
        <v>280</v>
      </c>
      <c r="D1691" s="2">
        <v>66395536.189999998</v>
      </c>
      <c r="E1691" s="2">
        <v>157515331.59999999</v>
      </c>
      <c r="F1691" s="2">
        <v>204243970.38</v>
      </c>
      <c r="G1691" s="2">
        <v>3741133.21</v>
      </c>
    </row>
    <row r="1692" spans="1:7" x14ac:dyDescent="0.25">
      <c r="A1692" s="1">
        <v>45108</v>
      </c>
      <c r="B1692" t="s">
        <v>37</v>
      </c>
      <c r="C1692" t="s">
        <v>281</v>
      </c>
      <c r="D1692" s="2">
        <v>12294502.82</v>
      </c>
      <c r="E1692" s="2">
        <v>171173877.59999999</v>
      </c>
      <c r="F1692" s="2">
        <v>203752850.38</v>
      </c>
      <c r="G1692" s="2">
        <v>637281.41</v>
      </c>
    </row>
    <row r="1693" spans="1:7" x14ac:dyDescent="0.25">
      <c r="A1693" s="1">
        <v>45108</v>
      </c>
      <c r="B1693" t="s">
        <v>37</v>
      </c>
      <c r="C1693" t="s">
        <v>282</v>
      </c>
      <c r="D1693" s="2">
        <v>4471107.2</v>
      </c>
      <c r="E1693" s="2">
        <v>10982718.310000001</v>
      </c>
      <c r="F1693" s="2">
        <v>11805071.289999999</v>
      </c>
      <c r="G1693" s="2">
        <v>30754.42</v>
      </c>
    </row>
    <row r="1694" spans="1:7" x14ac:dyDescent="0.25">
      <c r="A1694" s="1">
        <v>45108</v>
      </c>
      <c r="B1694" t="s">
        <v>37</v>
      </c>
      <c r="C1694" t="s">
        <v>283</v>
      </c>
      <c r="D1694" s="2">
        <v>1793666.74</v>
      </c>
      <c r="E1694" s="2">
        <v>13874289.91</v>
      </c>
      <c r="F1694" s="2">
        <v>16527856.02</v>
      </c>
      <c r="G1694" s="2">
        <v>1072381.57</v>
      </c>
    </row>
    <row r="1695" spans="1:7" x14ac:dyDescent="0.25">
      <c r="A1695" s="1">
        <v>45108</v>
      </c>
      <c r="B1695" t="s">
        <v>37</v>
      </c>
      <c r="C1695" t="s">
        <v>284</v>
      </c>
      <c r="D1695" s="2">
        <v>3763458</v>
      </c>
      <c r="E1695" s="2">
        <v>46523953.43</v>
      </c>
      <c r="F1695" s="2">
        <v>61414626.369999997</v>
      </c>
      <c r="G1695" s="2">
        <v>639460.93000000005</v>
      </c>
    </row>
    <row r="1696" spans="1:7" x14ac:dyDescent="0.25">
      <c r="A1696" s="1">
        <v>45108</v>
      </c>
      <c r="B1696" t="s">
        <v>37</v>
      </c>
      <c r="C1696" t="s">
        <v>285</v>
      </c>
      <c r="D1696" s="2">
        <v>1983993.78</v>
      </c>
      <c r="E1696" s="2">
        <v>26659359.91</v>
      </c>
      <c r="F1696" s="2">
        <v>29507404.899999999</v>
      </c>
      <c r="G1696" s="2">
        <v>633472.84</v>
      </c>
    </row>
    <row r="1697" spans="1:7" x14ac:dyDescent="0.25">
      <c r="A1697" s="1">
        <v>45108</v>
      </c>
      <c r="B1697" t="s">
        <v>37</v>
      </c>
      <c r="C1697" t="s">
        <v>286</v>
      </c>
      <c r="D1697" s="2">
        <v>201716929.19</v>
      </c>
      <c r="E1697" s="2">
        <v>203314718.96000001</v>
      </c>
      <c r="F1697" s="2">
        <v>264697672.02000001</v>
      </c>
      <c r="G1697" s="2">
        <v>5695534.3099999996</v>
      </c>
    </row>
    <row r="1698" spans="1:7" x14ac:dyDescent="0.25">
      <c r="A1698" s="1">
        <v>45108</v>
      </c>
      <c r="B1698" t="s">
        <v>37</v>
      </c>
      <c r="C1698" t="s">
        <v>287</v>
      </c>
      <c r="D1698" s="2">
        <v>4999147.25</v>
      </c>
      <c r="E1698" s="2">
        <v>22940726.690000001</v>
      </c>
      <c r="F1698" s="2">
        <v>30370549.780000001</v>
      </c>
      <c r="G1698" s="2">
        <v>4081780.32</v>
      </c>
    </row>
    <row r="1699" spans="1:7" x14ac:dyDescent="0.25">
      <c r="A1699" s="1">
        <v>45108</v>
      </c>
      <c r="B1699" t="s">
        <v>37</v>
      </c>
      <c r="C1699" t="s">
        <v>288</v>
      </c>
      <c r="D1699" s="2">
        <v>22692883.030000001</v>
      </c>
      <c r="E1699" s="2">
        <v>57065529.630000003</v>
      </c>
      <c r="F1699" s="2">
        <v>68509847.849999994</v>
      </c>
      <c r="G1699" s="2">
        <v>1129300.57</v>
      </c>
    </row>
    <row r="1700" spans="1:7" x14ac:dyDescent="0.25">
      <c r="A1700" s="1">
        <v>45108</v>
      </c>
      <c r="B1700" t="s">
        <v>37</v>
      </c>
      <c r="C1700" t="s">
        <v>289</v>
      </c>
      <c r="D1700" s="2">
        <v>4057115.82</v>
      </c>
      <c r="E1700" s="2">
        <v>61010087.490000002</v>
      </c>
      <c r="F1700" s="2">
        <v>74903789.549999997</v>
      </c>
      <c r="G1700" s="2">
        <v>2139509.59</v>
      </c>
    </row>
    <row r="1701" spans="1:7" x14ac:dyDescent="0.25">
      <c r="A1701" s="1">
        <v>45108</v>
      </c>
      <c r="B1701" t="s">
        <v>37</v>
      </c>
      <c r="C1701" t="s">
        <v>290</v>
      </c>
      <c r="D1701" s="2">
        <v>3395414.65</v>
      </c>
      <c r="E1701" s="2">
        <v>29279167.32</v>
      </c>
      <c r="F1701" s="2">
        <v>33972461.380000003</v>
      </c>
      <c r="G1701" s="2">
        <v>333592.28000000003</v>
      </c>
    </row>
    <row r="1702" spans="1:7" x14ac:dyDescent="0.25">
      <c r="A1702" s="1">
        <v>45108</v>
      </c>
      <c r="B1702" t="s">
        <v>37</v>
      </c>
      <c r="C1702" t="s">
        <v>291</v>
      </c>
      <c r="D1702" s="2">
        <v>221229333.59999999</v>
      </c>
      <c r="E1702" s="2">
        <v>87053686.280000001</v>
      </c>
      <c r="F1702" s="2">
        <v>121600603.2</v>
      </c>
      <c r="G1702" s="2">
        <v>3193487.69</v>
      </c>
    </row>
    <row r="1703" spans="1:7" x14ac:dyDescent="0.25">
      <c r="A1703" s="1">
        <v>45108</v>
      </c>
      <c r="B1703" t="s">
        <v>19</v>
      </c>
      <c r="C1703" t="s">
        <v>292</v>
      </c>
      <c r="D1703" s="2">
        <v>24379735.579999998</v>
      </c>
      <c r="E1703" s="2">
        <v>15693225.77</v>
      </c>
      <c r="F1703" s="2">
        <v>18999553.920000002</v>
      </c>
      <c r="G1703" s="2">
        <v>17042505.789999999</v>
      </c>
    </row>
    <row r="1704" spans="1:7" x14ac:dyDescent="0.25">
      <c r="A1704" s="1">
        <v>45139</v>
      </c>
      <c r="B1704" t="s">
        <v>7</v>
      </c>
      <c r="C1704" t="s">
        <v>8</v>
      </c>
      <c r="D1704" s="2">
        <v>-949408.9</v>
      </c>
      <c r="E1704" s="2">
        <v>42438832.710000001</v>
      </c>
      <c r="F1704" s="2">
        <v>431066531.48000002</v>
      </c>
      <c r="G1704" s="2">
        <v>25025094.219999999</v>
      </c>
    </row>
    <row r="1705" spans="1:7" x14ac:dyDescent="0.25">
      <c r="A1705" s="1">
        <v>45139</v>
      </c>
      <c r="B1705" t="s">
        <v>9</v>
      </c>
      <c r="C1705" t="s">
        <v>10</v>
      </c>
      <c r="D1705" s="2">
        <v>821317.22</v>
      </c>
      <c r="E1705" s="2">
        <v>1285893.53</v>
      </c>
      <c r="F1705" s="2">
        <v>3335821.45</v>
      </c>
      <c r="G1705" s="2">
        <v>124480.28</v>
      </c>
    </row>
    <row r="1706" spans="1:7" x14ac:dyDescent="0.25">
      <c r="A1706" s="1">
        <v>45139</v>
      </c>
      <c r="B1706" t="s">
        <v>11</v>
      </c>
      <c r="C1706" t="s">
        <v>12</v>
      </c>
      <c r="D1706" s="2">
        <v>-1488349.98</v>
      </c>
      <c r="E1706" s="2">
        <v>5795679.8700000001</v>
      </c>
      <c r="F1706" s="2">
        <v>57001818.520000003</v>
      </c>
      <c r="G1706" s="2">
        <v>51250.3</v>
      </c>
    </row>
    <row r="1707" spans="1:7" x14ac:dyDescent="0.25">
      <c r="A1707" s="1">
        <v>45139</v>
      </c>
      <c r="B1707" t="s">
        <v>13</v>
      </c>
      <c r="C1707" t="s">
        <v>14</v>
      </c>
      <c r="D1707" s="2">
        <v>7776636.4100000001</v>
      </c>
      <c r="E1707" s="2">
        <v>225120844.91</v>
      </c>
      <c r="F1707" s="2">
        <v>249674783.5</v>
      </c>
      <c r="G1707" s="2">
        <v>864951.49</v>
      </c>
    </row>
    <row r="1708" spans="1:7" x14ac:dyDescent="0.25">
      <c r="A1708" s="1">
        <v>45139</v>
      </c>
      <c r="B1708" t="s">
        <v>13</v>
      </c>
      <c r="C1708" t="s">
        <v>15</v>
      </c>
      <c r="D1708" s="2">
        <v>1195557.06</v>
      </c>
      <c r="E1708" s="2">
        <v>5473819.9299999997</v>
      </c>
      <c r="F1708" s="2">
        <v>40002807.170000002</v>
      </c>
      <c r="G1708">
        <v>0</v>
      </c>
    </row>
    <row r="1709" spans="1:7" x14ac:dyDescent="0.25">
      <c r="A1709" s="1">
        <v>45139</v>
      </c>
      <c r="B1709" t="s">
        <v>16</v>
      </c>
      <c r="C1709" t="s">
        <v>17</v>
      </c>
      <c r="D1709" s="2">
        <v>4912230.5199999996</v>
      </c>
      <c r="E1709" s="2">
        <v>5108684.4400000004</v>
      </c>
      <c r="F1709" s="2">
        <v>30186614.059999999</v>
      </c>
      <c r="G1709" s="2">
        <v>152254.87</v>
      </c>
    </row>
    <row r="1710" spans="1:7" x14ac:dyDescent="0.25">
      <c r="A1710" s="1">
        <v>45139</v>
      </c>
      <c r="B1710" t="s">
        <v>11</v>
      </c>
      <c r="C1710" t="s">
        <v>18</v>
      </c>
      <c r="D1710" s="2">
        <v>2213581.84</v>
      </c>
      <c r="E1710" s="2">
        <v>2368480.2799999998</v>
      </c>
      <c r="F1710" s="2">
        <v>15850986.039999999</v>
      </c>
      <c r="G1710" s="2">
        <v>385827.47</v>
      </c>
    </row>
    <row r="1711" spans="1:7" x14ac:dyDescent="0.25">
      <c r="A1711" s="1">
        <v>45139</v>
      </c>
      <c r="B1711" t="s">
        <v>19</v>
      </c>
      <c r="C1711" t="s">
        <v>20</v>
      </c>
      <c r="D1711" s="2">
        <v>6968667.5</v>
      </c>
      <c r="E1711" s="2">
        <v>23515479.530000001</v>
      </c>
      <c r="F1711" s="2">
        <v>57676807.399999999</v>
      </c>
      <c r="G1711" s="2">
        <v>419477.76000000001</v>
      </c>
    </row>
    <row r="1712" spans="1:7" x14ac:dyDescent="0.25">
      <c r="A1712" s="1">
        <v>45139</v>
      </c>
      <c r="B1712" t="s">
        <v>16</v>
      </c>
      <c r="C1712" t="s">
        <v>21</v>
      </c>
      <c r="D1712" s="2">
        <v>21286700.260000002</v>
      </c>
      <c r="E1712" s="2">
        <v>10572961.199999999</v>
      </c>
      <c r="F1712" s="2">
        <v>87584646.040000007</v>
      </c>
      <c r="G1712" s="2">
        <v>50769.27</v>
      </c>
    </row>
    <row r="1713" spans="1:7" x14ac:dyDescent="0.25">
      <c r="A1713" s="1">
        <v>45139</v>
      </c>
      <c r="B1713" t="s">
        <v>22</v>
      </c>
      <c r="C1713" t="s">
        <v>23</v>
      </c>
      <c r="D1713" s="2">
        <v>9578300.8300000001</v>
      </c>
      <c r="E1713" s="2">
        <v>28908118.489999998</v>
      </c>
      <c r="F1713" s="2">
        <v>42949540.579999998</v>
      </c>
      <c r="G1713" s="2">
        <v>404664.55</v>
      </c>
    </row>
    <row r="1714" spans="1:7" x14ac:dyDescent="0.25">
      <c r="A1714" s="1">
        <v>45139</v>
      </c>
      <c r="B1714" t="s">
        <v>24</v>
      </c>
      <c r="C1714" t="s">
        <v>25</v>
      </c>
      <c r="D1714" s="2">
        <v>4425792.62</v>
      </c>
      <c r="E1714" s="2">
        <v>203501892.09999999</v>
      </c>
      <c r="F1714" s="2">
        <v>213080819.15000001</v>
      </c>
      <c r="G1714" s="2">
        <v>135455.24</v>
      </c>
    </row>
    <row r="1715" spans="1:7" x14ac:dyDescent="0.25">
      <c r="A1715" s="1">
        <v>45139</v>
      </c>
      <c r="B1715" t="s">
        <v>13</v>
      </c>
      <c r="C1715" t="s">
        <v>26</v>
      </c>
      <c r="D1715" s="2">
        <v>6702339811.6300001</v>
      </c>
      <c r="E1715" s="2">
        <v>6227196372.1999998</v>
      </c>
      <c r="F1715" s="2">
        <v>6259554583.0299997</v>
      </c>
      <c r="G1715" s="2">
        <v>1180675.44</v>
      </c>
    </row>
    <row r="1716" spans="1:7" x14ac:dyDescent="0.25">
      <c r="A1716" s="1">
        <v>45139</v>
      </c>
      <c r="B1716" t="s">
        <v>27</v>
      </c>
      <c r="C1716" t="s">
        <v>28</v>
      </c>
      <c r="D1716" s="2">
        <v>5826781.2199999997</v>
      </c>
      <c r="E1716" s="2">
        <v>8341382.9000000004</v>
      </c>
      <c r="F1716" s="2">
        <v>56830522.729999997</v>
      </c>
      <c r="G1716" s="2">
        <v>301198.23</v>
      </c>
    </row>
    <row r="1717" spans="1:7" x14ac:dyDescent="0.25">
      <c r="A1717" s="1">
        <v>45139</v>
      </c>
      <c r="B1717" t="s">
        <v>29</v>
      </c>
      <c r="C1717" t="s">
        <v>30</v>
      </c>
      <c r="D1717" s="2">
        <v>1322676.5</v>
      </c>
      <c r="E1717" s="2">
        <v>10301057.35</v>
      </c>
      <c r="F1717" s="2">
        <v>48705064.659999996</v>
      </c>
      <c r="G1717" s="2">
        <v>2448991.46</v>
      </c>
    </row>
    <row r="1718" spans="1:7" x14ac:dyDescent="0.25">
      <c r="A1718" s="1">
        <v>45139</v>
      </c>
      <c r="B1718" t="s">
        <v>31</v>
      </c>
      <c r="C1718" t="s">
        <v>32</v>
      </c>
      <c r="D1718" s="2">
        <v>468213.17</v>
      </c>
      <c r="E1718" s="2">
        <v>280870.78000000003</v>
      </c>
      <c r="F1718" s="2">
        <v>280570.06</v>
      </c>
      <c r="G1718">
        <v>0</v>
      </c>
    </row>
    <row r="1719" spans="1:7" x14ac:dyDescent="0.25">
      <c r="A1719" s="1">
        <v>45139</v>
      </c>
      <c r="B1719" t="s">
        <v>33</v>
      </c>
      <c r="C1719" t="s">
        <v>34</v>
      </c>
      <c r="D1719" s="2">
        <v>306855687.54000002</v>
      </c>
      <c r="E1719" s="2">
        <v>18102932.710000001</v>
      </c>
      <c r="F1719" s="2">
        <v>602915116.92999995</v>
      </c>
      <c r="G1719" s="2">
        <v>4411235.16</v>
      </c>
    </row>
    <row r="1720" spans="1:7" x14ac:dyDescent="0.25">
      <c r="A1720" s="1">
        <v>45139</v>
      </c>
      <c r="B1720" t="s">
        <v>29</v>
      </c>
      <c r="C1720" t="s">
        <v>35</v>
      </c>
      <c r="D1720" s="2">
        <v>1250272.45</v>
      </c>
      <c r="E1720" s="2">
        <v>8769470.4499999993</v>
      </c>
      <c r="F1720" s="2">
        <v>7108940.7400000002</v>
      </c>
      <c r="G1720" s="2">
        <v>10084335.289999999</v>
      </c>
    </row>
    <row r="1721" spans="1:7" x14ac:dyDescent="0.25">
      <c r="A1721" s="1">
        <v>45139</v>
      </c>
      <c r="B1721" t="s">
        <v>29</v>
      </c>
      <c r="C1721" t="s">
        <v>36</v>
      </c>
      <c r="D1721" s="2">
        <v>129456.6</v>
      </c>
      <c r="E1721" s="2">
        <v>115211.96</v>
      </c>
      <c r="F1721" s="2">
        <v>329196.61</v>
      </c>
      <c r="G1721">
        <v>0</v>
      </c>
    </row>
    <row r="1722" spans="1:7" x14ac:dyDescent="0.25">
      <c r="A1722" s="1">
        <v>45139</v>
      </c>
      <c r="B1722" t="s">
        <v>37</v>
      </c>
      <c r="C1722" t="s">
        <v>38</v>
      </c>
      <c r="D1722" s="2">
        <v>3124745.38</v>
      </c>
      <c r="E1722" s="2">
        <v>3351400.85</v>
      </c>
      <c r="F1722" s="2">
        <v>51849286.880000003</v>
      </c>
      <c r="G1722" s="2">
        <v>1487157.17</v>
      </c>
    </row>
    <row r="1723" spans="1:7" x14ac:dyDescent="0.25">
      <c r="A1723" s="1">
        <v>45139</v>
      </c>
      <c r="B1723" t="s">
        <v>37</v>
      </c>
      <c r="C1723" t="s">
        <v>39</v>
      </c>
      <c r="D1723" s="2">
        <v>1339208.17</v>
      </c>
      <c r="E1723" s="2">
        <v>3475380.95</v>
      </c>
      <c r="F1723" s="2">
        <v>63688017.539999999</v>
      </c>
      <c r="G1723" s="2">
        <v>719419.68</v>
      </c>
    </row>
    <row r="1724" spans="1:7" x14ac:dyDescent="0.25">
      <c r="A1724" s="1">
        <v>45139</v>
      </c>
      <c r="B1724" t="s">
        <v>9</v>
      </c>
      <c r="C1724" t="s">
        <v>40</v>
      </c>
      <c r="D1724" s="2">
        <v>583352.85</v>
      </c>
      <c r="E1724" s="2">
        <v>1703961.69</v>
      </c>
      <c r="F1724" s="2">
        <v>3465971.03</v>
      </c>
      <c r="G1724">
        <v>0</v>
      </c>
    </row>
    <row r="1725" spans="1:7" x14ac:dyDescent="0.25">
      <c r="A1725" s="1">
        <v>45139</v>
      </c>
      <c r="B1725" t="s">
        <v>37</v>
      </c>
      <c r="C1725" t="s">
        <v>41</v>
      </c>
      <c r="D1725" s="2">
        <v>3482778.53</v>
      </c>
      <c r="E1725" s="2">
        <v>4316217.29</v>
      </c>
      <c r="F1725" s="2">
        <v>92605250.900000006</v>
      </c>
      <c r="G1725" s="2">
        <v>1183144.58</v>
      </c>
    </row>
    <row r="1726" spans="1:7" x14ac:dyDescent="0.25">
      <c r="A1726" s="1">
        <v>45139</v>
      </c>
      <c r="B1726" t="s">
        <v>29</v>
      </c>
      <c r="C1726" t="s">
        <v>42</v>
      </c>
      <c r="D1726" s="2">
        <v>1932839952.8499999</v>
      </c>
      <c r="E1726" s="2">
        <v>355166689.06999999</v>
      </c>
      <c r="F1726" s="2">
        <v>3200427606.2800002</v>
      </c>
      <c r="G1726" s="2">
        <v>103575417.06</v>
      </c>
    </row>
    <row r="1727" spans="1:7" x14ac:dyDescent="0.25">
      <c r="A1727" s="1">
        <v>45139</v>
      </c>
      <c r="B1727" t="s">
        <v>29</v>
      </c>
      <c r="C1727" t="s">
        <v>43</v>
      </c>
      <c r="D1727" s="2">
        <v>21926168.289999999</v>
      </c>
      <c r="E1727" s="2">
        <v>1433968474.3</v>
      </c>
      <c r="F1727" s="2">
        <v>3295313595.5799999</v>
      </c>
      <c r="G1727" s="2">
        <v>43752960.420000002</v>
      </c>
    </row>
    <row r="1728" spans="1:7" x14ac:dyDescent="0.25">
      <c r="A1728" s="1">
        <v>45139</v>
      </c>
      <c r="B1728" t="s">
        <v>29</v>
      </c>
      <c r="C1728" t="s">
        <v>44</v>
      </c>
      <c r="D1728" s="2">
        <v>480689980.48000002</v>
      </c>
      <c r="E1728" s="2">
        <v>911114326.01999998</v>
      </c>
      <c r="F1728" s="2">
        <v>5844297060.4700003</v>
      </c>
      <c r="G1728" s="2">
        <v>128099874.67</v>
      </c>
    </row>
    <row r="1729" spans="1:7" x14ac:dyDescent="0.25">
      <c r="A1729" s="1">
        <v>45139</v>
      </c>
      <c r="B1729" t="s">
        <v>45</v>
      </c>
      <c r="C1729" t="s">
        <v>46</v>
      </c>
      <c r="D1729" s="2">
        <v>1817462.64</v>
      </c>
      <c r="E1729" s="2">
        <v>488848.74</v>
      </c>
      <c r="F1729" s="2">
        <v>22923993.550000001</v>
      </c>
      <c r="G1729" s="2">
        <v>132491.44</v>
      </c>
    </row>
    <row r="1730" spans="1:7" x14ac:dyDescent="0.25">
      <c r="A1730" s="1">
        <v>45139</v>
      </c>
      <c r="B1730" t="s">
        <v>9</v>
      </c>
      <c r="C1730" t="s">
        <v>47</v>
      </c>
      <c r="D1730" s="2">
        <v>8715913.1899999995</v>
      </c>
      <c r="E1730" s="2">
        <v>18382517.23</v>
      </c>
      <c r="F1730" s="2">
        <v>101564565.88</v>
      </c>
      <c r="G1730" s="2">
        <v>1076694.49</v>
      </c>
    </row>
    <row r="1731" spans="1:7" x14ac:dyDescent="0.25">
      <c r="A1731" s="1">
        <v>45139</v>
      </c>
      <c r="B1731" t="s">
        <v>48</v>
      </c>
      <c r="C1731" t="s">
        <v>49</v>
      </c>
      <c r="D1731" s="2">
        <v>63038112.159999996</v>
      </c>
      <c r="E1731" s="2">
        <v>62532635.880000003</v>
      </c>
      <c r="F1731" s="2">
        <v>83019007.75</v>
      </c>
      <c r="G1731" s="2">
        <v>4616046.9400000004</v>
      </c>
    </row>
    <row r="1732" spans="1:7" x14ac:dyDescent="0.25">
      <c r="A1732" s="1">
        <v>45139</v>
      </c>
      <c r="B1732" t="s">
        <v>50</v>
      </c>
      <c r="C1732" t="s">
        <v>51</v>
      </c>
      <c r="D1732" s="2">
        <v>101119950.34999999</v>
      </c>
      <c r="E1732" s="2">
        <v>24393224.379999999</v>
      </c>
      <c r="F1732" s="2">
        <v>95384131.599999994</v>
      </c>
      <c r="G1732" s="2">
        <v>236743109.75</v>
      </c>
    </row>
    <row r="1733" spans="1:7" x14ac:dyDescent="0.25">
      <c r="A1733" s="1">
        <v>45139</v>
      </c>
      <c r="B1733" t="s">
        <v>13</v>
      </c>
      <c r="C1733" t="s">
        <v>52</v>
      </c>
      <c r="D1733" s="2">
        <v>17500378.899999999</v>
      </c>
      <c r="E1733" s="2">
        <v>16790981.98</v>
      </c>
      <c r="F1733" s="2">
        <v>65724648.640000001</v>
      </c>
      <c r="G1733" s="2">
        <v>837824.58</v>
      </c>
    </row>
    <row r="1734" spans="1:7" x14ac:dyDescent="0.25">
      <c r="A1734" s="1">
        <v>45139</v>
      </c>
      <c r="B1734" t="s">
        <v>53</v>
      </c>
      <c r="C1734" t="s">
        <v>54</v>
      </c>
      <c r="D1734" s="2">
        <v>45629783.479999997</v>
      </c>
      <c r="E1734" s="2">
        <v>48576277.100000001</v>
      </c>
      <c r="F1734" s="2">
        <v>148787434.59999999</v>
      </c>
      <c r="G1734" s="2">
        <v>3292262.16</v>
      </c>
    </row>
    <row r="1735" spans="1:7" x14ac:dyDescent="0.25">
      <c r="A1735" s="1">
        <v>45139</v>
      </c>
      <c r="B1735" t="s">
        <v>31</v>
      </c>
      <c r="C1735" t="s">
        <v>55</v>
      </c>
      <c r="D1735" s="2">
        <v>1091253.81</v>
      </c>
      <c r="E1735" s="2">
        <v>1655182.79</v>
      </c>
      <c r="F1735" s="2">
        <v>4008747.79</v>
      </c>
      <c r="G1735" s="2">
        <v>174946.88</v>
      </c>
    </row>
    <row r="1736" spans="1:7" x14ac:dyDescent="0.25">
      <c r="A1736" s="1">
        <v>45139</v>
      </c>
      <c r="B1736" t="s">
        <v>9</v>
      </c>
      <c r="C1736" t="s">
        <v>56</v>
      </c>
      <c r="D1736" s="2">
        <v>36917521.130000003</v>
      </c>
      <c r="E1736" s="2">
        <v>14682279.109999999</v>
      </c>
      <c r="F1736" s="2">
        <v>221291654.21000001</v>
      </c>
      <c r="G1736" s="2">
        <v>68179851.420000002</v>
      </c>
    </row>
    <row r="1737" spans="1:7" x14ac:dyDescent="0.25">
      <c r="A1737" s="1">
        <v>45139</v>
      </c>
      <c r="B1737" t="s">
        <v>57</v>
      </c>
      <c r="C1737" t="s">
        <v>58</v>
      </c>
      <c r="D1737" s="2">
        <v>13950245.789999999</v>
      </c>
      <c r="E1737" s="2">
        <v>7432309.1299999999</v>
      </c>
      <c r="F1737" s="2">
        <v>144934623.69</v>
      </c>
      <c r="G1737" s="2">
        <v>1738588.1599999999</v>
      </c>
    </row>
    <row r="1738" spans="1:7" x14ac:dyDescent="0.25">
      <c r="A1738" s="1">
        <v>45139</v>
      </c>
      <c r="B1738" t="s">
        <v>19</v>
      </c>
      <c r="C1738" t="s">
        <v>59</v>
      </c>
      <c r="D1738" s="2">
        <v>955494489.92999995</v>
      </c>
      <c r="E1738" s="2">
        <v>998166193.29999995</v>
      </c>
      <c r="F1738" s="2">
        <v>918099741.09000003</v>
      </c>
      <c r="G1738" s="2">
        <v>183836443</v>
      </c>
    </row>
    <row r="1739" spans="1:7" x14ac:dyDescent="0.25">
      <c r="A1739" s="1">
        <v>45139</v>
      </c>
      <c r="B1739" t="s">
        <v>50</v>
      </c>
      <c r="C1739" t="s">
        <v>60</v>
      </c>
      <c r="D1739" s="2">
        <v>3332346.15</v>
      </c>
      <c r="E1739" s="2">
        <v>9795069.3300000001</v>
      </c>
      <c r="F1739" s="2">
        <v>100040044.06</v>
      </c>
      <c r="G1739" s="2">
        <v>18102823.98</v>
      </c>
    </row>
    <row r="1740" spans="1:7" x14ac:dyDescent="0.25">
      <c r="A1740" s="1">
        <v>45139</v>
      </c>
      <c r="B1740" t="s">
        <v>61</v>
      </c>
      <c r="C1740" t="s">
        <v>62</v>
      </c>
      <c r="D1740" s="2">
        <v>10458089.939999999</v>
      </c>
      <c r="E1740" s="2">
        <v>12978285.83</v>
      </c>
      <c r="F1740" s="2">
        <v>71323312.390000001</v>
      </c>
      <c r="G1740" s="2">
        <v>1098692.22</v>
      </c>
    </row>
    <row r="1741" spans="1:7" x14ac:dyDescent="0.25">
      <c r="A1741" s="1">
        <v>45139</v>
      </c>
      <c r="B1741" t="s">
        <v>63</v>
      </c>
      <c r="C1741" t="s">
        <v>64</v>
      </c>
      <c r="D1741" s="2">
        <v>49125245.909999996</v>
      </c>
      <c r="E1741" s="2">
        <v>229844211.97</v>
      </c>
      <c r="F1741" s="2">
        <v>374178486.80000001</v>
      </c>
      <c r="G1741" s="2">
        <v>16328819.279999999</v>
      </c>
    </row>
    <row r="1742" spans="1:7" x14ac:dyDescent="0.25">
      <c r="A1742" s="1">
        <v>45139</v>
      </c>
      <c r="B1742" t="s">
        <v>37</v>
      </c>
      <c r="C1742" t="s">
        <v>65</v>
      </c>
      <c r="D1742" s="2">
        <v>279010553.74000001</v>
      </c>
      <c r="E1742" s="2">
        <v>275415571.38</v>
      </c>
      <c r="F1742" s="2">
        <v>1000596474.65</v>
      </c>
      <c r="G1742" s="2">
        <v>15919824.779999999</v>
      </c>
    </row>
    <row r="1743" spans="1:7" x14ac:dyDescent="0.25">
      <c r="A1743" s="1">
        <v>45139</v>
      </c>
      <c r="B1743" t="s">
        <v>13</v>
      </c>
      <c r="C1743" t="s">
        <v>66</v>
      </c>
      <c r="D1743" s="2">
        <v>1185601.67</v>
      </c>
      <c r="E1743" s="2">
        <v>2590300.75</v>
      </c>
      <c r="F1743" s="2">
        <v>12370112.380000001</v>
      </c>
      <c r="G1743">
        <v>193</v>
      </c>
    </row>
    <row r="1744" spans="1:7" x14ac:dyDescent="0.25">
      <c r="A1744" s="1">
        <v>45139</v>
      </c>
      <c r="B1744" t="s">
        <v>48</v>
      </c>
      <c r="C1744" t="s">
        <v>67</v>
      </c>
      <c r="D1744" s="2">
        <v>13453759.439999999</v>
      </c>
      <c r="E1744" s="2">
        <v>11388344.310000001</v>
      </c>
      <c r="F1744" s="2">
        <v>28577521.879999999</v>
      </c>
      <c r="G1744" s="2">
        <v>865742.53</v>
      </c>
    </row>
    <row r="1745" spans="1:7" x14ac:dyDescent="0.25">
      <c r="A1745" s="1">
        <v>45139</v>
      </c>
      <c r="B1745" t="s">
        <v>9</v>
      </c>
      <c r="C1745" t="s">
        <v>68</v>
      </c>
      <c r="D1745" s="2">
        <v>1113149.1100000001</v>
      </c>
      <c r="E1745" s="2">
        <v>1117652.1100000001</v>
      </c>
      <c r="F1745" s="2">
        <v>1117652.1100000001</v>
      </c>
      <c r="G1745">
        <v>0</v>
      </c>
    </row>
    <row r="1746" spans="1:7" x14ac:dyDescent="0.25">
      <c r="A1746" s="1">
        <v>45139</v>
      </c>
      <c r="B1746" t="s">
        <v>69</v>
      </c>
      <c r="C1746" t="s">
        <v>70</v>
      </c>
      <c r="D1746" s="2">
        <v>1814797.36</v>
      </c>
      <c r="E1746" s="2">
        <v>383831.64</v>
      </c>
      <c r="F1746" s="2">
        <v>1354315.58</v>
      </c>
      <c r="G1746">
        <v>0</v>
      </c>
    </row>
    <row r="1747" spans="1:7" x14ac:dyDescent="0.25">
      <c r="A1747" s="1">
        <v>45139</v>
      </c>
      <c r="B1747" t="s">
        <v>24</v>
      </c>
      <c r="C1747" t="s">
        <v>71</v>
      </c>
      <c r="D1747" s="2">
        <v>133224.01999999999</v>
      </c>
      <c r="E1747" s="2">
        <v>3978215.63</v>
      </c>
      <c r="F1747" s="2">
        <v>12877459.66</v>
      </c>
      <c r="G1747" s="2">
        <v>25440</v>
      </c>
    </row>
    <row r="1748" spans="1:7" x14ac:dyDescent="0.25">
      <c r="A1748" s="1">
        <v>45139</v>
      </c>
      <c r="B1748" t="s">
        <v>24</v>
      </c>
      <c r="C1748" t="s">
        <v>72</v>
      </c>
      <c r="D1748" s="2">
        <v>476492.49</v>
      </c>
      <c r="E1748" s="2">
        <v>565212.05000000005</v>
      </c>
      <c r="F1748" s="2">
        <v>5360858.8099999996</v>
      </c>
      <c r="G1748">
        <v>991.6</v>
      </c>
    </row>
    <row r="1749" spans="1:7" x14ac:dyDescent="0.25">
      <c r="A1749" s="1">
        <v>45139</v>
      </c>
      <c r="B1749" t="s">
        <v>37</v>
      </c>
      <c r="C1749" t="s">
        <v>73</v>
      </c>
      <c r="D1749" s="2">
        <v>785590656.04999995</v>
      </c>
      <c r="E1749" s="2">
        <v>297795759.13</v>
      </c>
      <c r="F1749" s="2">
        <v>751169796.82000005</v>
      </c>
      <c r="G1749" s="2">
        <v>5317657.5599999996</v>
      </c>
    </row>
    <row r="1750" spans="1:7" x14ac:dyDescent="0.25">
      <c r="A1750" s="1">
        <v>45139</v>
      </c>
      <c r="B1750" t="s">
        <v>24</v>
      </c>
      <c r="C1750" t="s">
        <v>74</v>
      </c>
      <c r="D1750" s="2">
        <v>797619.89</v>
      </c>
      <c r="E1750" s="2">
        <v>403625.86</v>
      </c>
      <c r="F1750" s="2">
        <v>1423979.16</v>
      </c>
      <c r="G1750" s="2">
        <v>1340.49</v>
      </c>
    </row>
    <row r="1751" spans="1:7" x14ac:dyDescent="0.25">
      <c r="A1751" s="1">
        <v>45139</v>
      </c>
      <c r="B1751" t="s">
        <v>75</v>
      </c>
      <c r="C1751" t="s">
        <v>76</v>
      </c>
      <c r="D1751" s="2">
        <v>2671460.19</v>
      </c>
      <c r="E1751" s="2">
        <v>4467261.25</v>
      </c>
      <c r="F1751" s="2">
        <v>10439583.960000001</v>
      </c>
      <c r="G1751" s="2">
        <v>291480.78999999998</v>
      </c>
    </row>
    <row r="1752" spans="1:7" x14ac:dyDescent="0.25">
      <c r="A1752" s="1">
        <v>45139</v>
      </c>
      <c r="B1752" t="s">
        <v>77</v>
      </c>
      <c r="C1752" t="s">
        <v>78</v>
      </c>
      <c r="D1752" s="2">
        <v>20478785.18</v>
      </c>
      <c r="E1752" s="2">
        <v>21094763.989999998</v>
      </c>
      <c r="F1752" s="2">
        <v>337952679.91000003</v>
      </c>
      <c r="G1752" s="2">
        <v>351871.92</v>
      </c>
    </row>
    <row r="1753" spans="1:7" x14ac:dyDescent="0.25">
      <c r="A1753" s="1">
        <v>45139</v>
      </c>
      <c r="B1753" t="s">
        <v>37</v>
      </c>
      <c r="C1753" t="s">
        <v>79</v>
      </c>
      <c r="D1753" s="2">
        <v>392908.15</v>
      </c>
      <c r="E1753" s="2">
        <v>2422562.87</v>
      </c>
      <c r="F1753" s="2">
        <v>15246792.119999999</v>
      </c>
      <c r="G1753" s="2">
        <v>34387.64</v>
      </c>
    </row>
    <row r="1754" spans="1:7" x14ac:dyDescent="0.25">
      <c r="A1754" s="1">
        <v>45139</v>
      </c>
      <c r="B1754" t="s">
        <v>80</v>
      </c>
      <c r="C1754" t="s">
        <v>81</v>
      </c>
      <c r="D1754" s="2">
        <v>-373034.53</v>
      </c>
      <c r="E1754" s="2">
        <v>220550.04</v>
      </c>
      <c r="F1754" s="2">
        <v>12145287.33</v>
      </c>
      <c r="G1754" s="2">
        <v>165473.23000000001</v>
      </c>
    </row>
    <row r="1755" spans="1:7" x14ac:dyDescent="0.25">
      <c r="A1755" s="1">
        <v>45139</v>
      </c>
      <c r="B1755" t="s">
        <v>24</v>
      </c>
      <c r="C1755" t="s">
        <v>82</v>
      </c>
      <c r="D1755" s="2">
        <v>65999809.020000003</v>
      </c>
      <c r="E1755" s="2">
        <v>4279725.33</v>
      </c>
      <c r="F1755" s="2">
        <v>11390162.25</v>
      </c>
      <c r="G1755" s="2">
        <v>1063914.4099999999</v>
      </c>
    </row>
    <row r="1756" spans="1:7" x14ac:dyDescent="0.25">
      <c r="A1756" s="1">
        <v>45139</v>
      </c>
      <c r="B1756" t="s">
        <v>16</v>
      </c>
      <c r="C1756" t="s">
        <v>83</v>
      </c>
      <c r="D1756" s="2">
        <v>72594688.469999999</v>
      </c>
      <c r="E1756">
        <v>-392.34</v>
      </c>
      <c r="F1756" s="2">
        <v>245647675.03</v>
      </c>
      <c r="G1756">
        <v>0</v>
      </c>
    </row>
    <row r="1757" spans="1:7" x14ac:dyDescent="0.25">
      <c r="A1757" s="1">
        <v>45139</v>
      </c>
      <c r="B1757" t="s">
        <v>84</v>
      </c>
      <c r="C1757" t="s">
        <v>85</v>
      </c>
      <c r="D1757" s="2">
        <v>7382009.3099999996</v>
      </c>
      <c r="E1757" s="2">
        <v>15549545.289999999</v>
      </c>
      <c r="F1757" s="2">
        <v>74672663.909999996</v>
      </c>
      <c r="G1757" s="2">
        <v>1053103.32</v>
      </c>
    </row>
    <row r="1758" spans="1:7" x14ac:dyDescent="0.25">
      <c r="A1758" s="1">
        <v>45139</v>
      </c>
      <c r="B1758" t="s">
        <v>84</v>
      </c>
      <c r="C1758" t="s">
        <v>86</v>
      </c>
      <c r="D1758" s="2">
        <v>2096396.68</v>
      </c>
      <c r="E1758" s="2">
        <v>2104746.29</v>
      </c>
      <c r="F1758" s="2">
        <v>2082035.23</v>
      </c>
      <c r="G1758">
        <v>246.25</v>
      </c>
    </row>
    <row r="1759" spans="1:7" x14ac:dyDescent="0.25">
      <c r="A1759" s="1">
        <v>45139</v>
      </c>
      <c r="B1759" t="s">
        <v>16</v>
      </c>
      <c r="C1759" t="s">
        <v>87</v>
      </c>
      <c r="D1759" s="2">
        <v>580401027.80999994</v>
      </c>
      <c r="E1759" s="2">
        <v>286213610.08999997</v>
      </c>
      <c r="F1759" s="2">
        <v>565267834.96000004</v>
      </c>
      <c r="G1759" s="2">
        <v>25922577.760000002</v>
      </c>
    </row>
    <row r="1760" spans="1:7" x14ac:dyDescent="0.25">
      <c r="A1760" s="1">
        <v>45139</v>
      </c>
      <c r="B1760" t="s">
        <v>29</v>
      </c>
      <c r="C1760" t="s">
        <v>88</v>
      </c>
      <c r="D1760" s="2">
        <v>388581.24</v>
      </c>
      <c r="E1760" s="2">
        <v>563127.49</v>
      </c>
      <c r="F1760" s="2">
        <v>3091711.79</v>
      </c>
      <c r="G1760">
        <v>0</v>
      </c>
    </row>
    <row r="1761" spans="1:7" x14ac:dyDescent="0.25">
      <c r="A1761" s="1">
        <v>45139</v>
      </c>
      <c r="B1761" t="s">
        <v>37</v>
      </c>
      <c r="C1761" t="s">
        <v>89</v>
      </c>
      <c r="D1761" s="2">
        <v>15080368.439999999</v>
      </c>
      <c r="E1761" s="2">
        <v>10095051.220000001</v>
      </c>
      <c r="F1761" s="2">
        <v>245824361.05000001</v>
      </c>
      <c r="G1761" s="2">
        <v>8636121.0899999999</v>
      </c>
    </row>
    <row r="1762" spans="1:7" x14ac:dyDescent="0.25">
      <c r="A1762" s="1">
        <v>45139</v>
      </c>
      <c r="B1762" t="s">
        <v>37</v>
      </c>
      <c r="C1762" t="s">
        <v>90</v>
      </c>
      <c r="D1762" s="2">
        <v>8639571.9199999999</v>
      </c>
      <c r="E1762" s="2">
        <v>7356683.4299999997</v>
      </c>
      <c r="F1762" s="2">
        <v>102938260.08</v>
      </c>
      <c r="G1762" s="2">
        <v>2590045.42</v>
      </c>
    </row>
    <row r="1763" spans="1:7" x14ac:dyDescent="0.25">
      <c r="A1763" s="1">
        <v>45139</v>
      </c>
      <c r="B1763" t="s">
        <v>37</v>
      </c>
      <c r="C1763" t="s">
        <v>91</v>
      </c>
      <c r="D1763" s="2">
        <v>10939878.77</v>
      </c>
      <c r="E1763" s="2">
        <v>9993586.75</v>
      </c>
      <c r="F1763" s="2">
        <v>116407755.66</v>
      </c>
      <c r="G1763" s="2">
        <v>1309934.6399999999</v>
      </c>
    </row>
    <row r="1764" spans="1:7" x14ac:dyDescent="0.25">
      <c r="A1764" s="1">
        <v>45139</v>
      </c>
      <c r="B1764" t="s">
        <v>37</v>
      </c>
      <c r="C1764" t="s">
        <v>92</v>
      </c>
      <c r="D1764" s="2">
        <v>3787889.14</v>
      </c>
      <c r="E1764" s="2">
        <v>1944989.57</v>
      </c>
      <c r="F1764" s="2">
        <v>34838741.979999997</v>
      </c>
      <c r="G1764" s="2">
        <v>3741930.93</v>
      </c>
    </row>
    <row r="1765" spans="1:7" x14ac:dyDescent="0.25">
      <c r="A1765" s="1">
        <v>45139</v>
      </c>
      <c r="B1765" t="s">
        <v>37</v>
      </c>
      <c r="C1765" t="s">
        <v>93</v>
      </c>
      <c r="D1765" s="2">
        <v>-335430.14</v>
      </c>
      <c r="E1765" s="2">
        <v>950876.26</v>
      </c>
      <c r="F1765" s="2">
        <v>23457423.199999999</v>
      </c>
      <c r="G1765" s="2">
        <v>253111.77</v>
      </c>
    </row>
    <row r="1766" spans="1:7" x14ac:dyDescent="0.25">
      <c r="A1766" s="1">
        <v>45139</v>
      </c>
      <c r="B1766" t="s">
        <v>37</v>
      </c>
      <c r="C1766" t="s">
        <v>94</v>
      </c>
      <c r="D1766" s="2">
        <v>76396150.010000005</v>
      </c>
      <c r="E1766" s="2">
        <v>6976151.0199999996</v>
      </c>
      <c r="F1766" s="2">
        <v>109619002.36</v>
      </c>
      <c r="G1766" s="2">
        <v>488424.15</v>
      </c>
    </row>
    <row r="1767" spans="1:7" x14ac:dyDescent="0.25">
      <c r="A1767" s="1">
        <v>45139</v>
      </c>
      <c r="B1767" t="s">
        <v>37</v>
      </c>
      <c r="C1767" t="s">
        <v>95</v>
      </c>
      <c r="D1767" s="2">
        <v>4887416.97</v>
      </c>
      <c r="E1767" s="2">
        <v>1507898.89</v>
      </c>
      <c r="F1767" s="2">
        <v>37332943.850000001</v>
      </c>
      <c r="G1767" s="2">
        <v>1438140.61</v>
      </c>
    </row>
    <row r="1768" spans="1:7" x14ac:dyDescent="0.25">
      <c r="A1768" s="1">
        <v>45139</v>
      </c>
      <c r="B1768" t="s">
        <v>37</v>
      </c>
      <c r="C1768" t="s">
        <v>96</v>
      </c>
      <c r="D1768" s="2">
        <v>17790041.5</v>
      </c>
      <c r="E1768" s="2">
        <v>9255142.9800000004</v>
      </c>
      <c r="F1768" s="2">
        <v>100590790.48</v>
      </c>
      <c r="G1768" s="2">
        <v>1546975.67</v>
      </c>
    </row>
    <row r="1769" spans="1:7" x14ac:dyDescent="0.25">
      <c r="A1769" s="1">
        <v>45139</v>
      </c>
      <c r="B1769" t="s">
        <v>37</v>
      </c>
      <c r="C1769" t="s">
        <v>97</v>
      </c>
      <c r="D1769" s="2">
        <v>1923049.75</v>
      </c>
      <c r="E1769" s="2">
        <v>2689213.26</v>
      </c>
      <c r="F1769" s="2">
        <v>88387279.700000003</v>
      </c>
      <c r="G1769" s="2">
        <v>2079704.87</v>
      </c>
    </row>
    <row r="1770" spans="1:7" x14ac:dyDescent="0.25">
      <c r="A1770" s="1">
        <v>45139</v>
      </c>
      <c r="B1770" t="s">
        <v>37</v>
      </c>
      <c r="C1770" t="s">
        <v>98</v>
      </c>
      <c r="D1770" s="2">
        <v>2948216.9</v>
      </c>
      <c r="E1770" s="2">
        <v>4024541.11</v>
      </c>
      <c r="F1770" s="2">
        <v>57653415.289999999</v>
      </c>
      <c r="G1770" s="2">
        <v>1202657.83</v>
      </c>
    </row>
    <row r="1771" spans="1:7" x14ac:dyDescent="0.25">
      <c r="A1771" s="1">
        <v>45139</v>
      </c>
      <c r="B1771" t="s">
        <v>37</v>
      </c>
      <c r="C1771" t="s">
        <v>99</v>
      </c>
      <c r="D1771" s="2">
        <v>4089736.27</v>
      </c>
      <c r="E1771" s="2">
        <v>15894062.99</v>
      </c>
      <c r="F1771" s="2">
        <v>192136008.05000001</v>
      </c>
      <c r="G1771" s="2">
        <v>1540028.18</v>
      </c>
    </row>
    <row r="1772" spans="1:7" x14ac:dyDescent="0.25">
      <c r="A1772" s="1">
        <v>45139</v>
      </c>
      <c r="B1772" t="s">
        <v>37</v>
      </c>
      <c r="C1772" t="s">
        <v>100</v>
      </c>
      <c r="D1772" s="2">
        <v>8907672.6600000001</v>
      </c>
      <c r="E1772" s="2">
        <v>4841965.63</v>
      </c>
      <c r="F1772" s="2">
        <v>38752326.899999999</v>
      </c>
      <c r="G1772" s="2">
        <v>3491311.4</v>
      </c>
    </row>
    <row r="1773" spans="1:7" x14ac:dyDescent="0.25">
      <c r="A1773" s="1">
        <v>45139</v>
      </c>
      <c r="B1773" t="s">
        <v>37</v>
      </c>
      <c r="C1773" t="s">
        <v>101</v>
      </c>
      <c r="D1773" s="2">
        <v>9045624.9600000009</v>
      </c>
      <c r="E1773" s="2">
        <v>8965806.9299999997</v>
      </c>
      <c r="F1773" s="2">
        <v>56708383.899999999</v>
      </c>
      <c r="G1773" s="2">
        <v>1343444.81</v>
      </c>
    </row>
    <row r="1774" spans="1:7" x14ac:dyDescent="0.25">
      <c r="A1774" s="1">
        <v>45139</v>
      </c>
      <c r="B1774" t="s">
        <v>37</v>
      </c>
      <c r="C1774" t="s">
        <v>102</v>
      </c>
      <c r="D1774" s="2">
        <v>2982695.04</v>
      </c>
      <c r="E1774" s="2">
        <v>2487329.06</v>
      </c>
      <c r="F1774" s="2">
        <v>25786616.789999999</v>
      </c>
      <c r="G1774" s="2">
        <v>2098213.62</v>
      </c>
    </row>
    <row r="1775" spans="1:7" x14ac:dyDescent="0.25">
      <c r="A1775" s="1">
        <v>45139</v>
      </c>
      <c r="B1775" t="s">
        <v>37</v>
      </c>
      <c r="C1775" t="s">
        <v>103</v>
      </c>
      <c r="D1775" s="2">
        <v>8721544.1500000004</v>
      </c>
      <c r="E1775" s="2">
        <v>7034869.0199999996</v>
      </c>
      <c r="F1775" s="2">
        <v>112401873.86</v>
      </c>
      <c r="G1775" s="2">
        <v>469583.64</v>
      </c>
    </row>
    <row r="1776" spans="1:7" x14ac:dyDescent="0.25">
      <c r="A1776" s="1">
        <v>45139</v>
      </c>
      <c r="B1776" t="s">
        <v>37</v>
      </c>
      <c r="C1776" t="s">
        <v>104</v>
      </c>
      <c r="D1776" s="2">
        <v>18147122.719999999</v>
      </c>
      <c r="E1776" s="2">
        <v>19633358.699999999</v>
      </c>
      <c r="F1776" s="2">
        <v>124319536.38</v>
      </c>
      <c r="G1776" s="2">
        <v>164937.51999999999</v>
      </c>
    </row>
    <row r="1777" spans="1:7" x14ac:dyDescent="0.25">
      <c r="A1777" s="1">
        <v>45139</v>
      </c>
      <c r="B1777" t="s">
        <v>37</v>
      </c>
      <c r="C1777" t="s">
        <v>105</v>
      </c>
      <c r="D1777" s="2">
        <v>3051794.81</v>
      </c>
      <c r="E1777" s="2">
        <v>1366576.89</v>
      </c>
      <c r="F1777" s="2">
        <v>45697768.810000002</v>
      </c>
      <c r="G1777" s="2">
        <v>1180266.3700000001</v>
      </c>
    </row>
    <row r="1778" spans="1:7" x14ac:dyDescent="0.25">
      <c r="A1778" s="1">
        <v>45139</v>
      </c>
      <c r="B1778" t="s">
        <v>37</v>
      </c>
      <c r="C1778" t="s">
        <v>106</v>
      </c>
      <c r="D1778" s="2">
        <v>42726314.740000002</v>
      </c>
      <c r="E1778" s="2">
        <v>7961739.4000000004</v>
      </c>
      <c r="F1778" s="2">
        <v>101509467.08</v>
      </c>
      <c r="G1778" s="2">
        <v>586477.9</v>
      </c>
    </row>
    <row r="1779" spans="1:7" x14ac:dyDescent="0.25">
      <c r="A1779" s="1">
        <v>45139</v>
      </c>
      <c r="B1779" t="s">
        <v>37</v>
      </c>
      <c r="C1779" t="s">
        <v>107</v>
      </c>
      <c r="D1779" s="2">
        <v>11208629.130000001</v>
      </c>
      <c r="E1779" s="2">
        <v>2290170.61</v>
      </c>
      <c r="F1779" s="2">
        <v>48075227.909999996</v>
      </c>
      <c r="G1779" s="2">
        <v>4629600.5</v>
      </c>
    </row>
    <row r="1780" spans="1:7" x14ac:dyDescent="0.25">
      <c r="A1780" s="1">
        <v>45139</v>
      </c>
      <c r="B1780" t="s">
        <v>37</v>
      </c>
      <c r="C1780" t="s">
        <v>108</v>
      </c>
      <c r="D1780" s="2">
        <v>6670015.2699999996</v>
      </c>
      <c r="E1780" s="2">
        <v>7248076.5999999996</v>
      </c>
      <c r="F1780" s="2">
        <v>28555739.579999998</v>
      </c>
      <c r="G1780" s="2">
        <v>1793421.65</v>
      </c>
    </row>
    <row r="1781" spans="1:7" x14ac:dyDescent="0.25">
      <c r="A1781" s="1">
        <v>45139</v>
      </c>
      <c r="B1781" t="s">
        <v>50</v>
      </c>
      <c r="C1781" t="s">
        <v>109</v>
      </c>
      <c r="D1781">
        <v>0</v>
      </c>
      <c r="E1781" s="2">
        <v>231859665.65000001</v>
      </c>
      <c r="F1781" s="2">
        <v>231859665.65000001</v>
      </c>
      <c r="G1781">
        <v>0</v>
      </c>
    </row>
    <row r="1782" spans="1:7" x14ac:dyDescent="0.25">
      <c r="A1782" s="1">
        <v>45139</v>
      </c>
      <c r="B1782" t="s">
        <v>50</v>
      </c>
      <c r="C1782" t="s">
        <v>110</v>
      </c>
      <c r="D1782">
        <v>0</v>
      </c>
      <c r="E1782" s="2">
        <v>695578997.62</v>
      </c>
      <c r="F1782" s="2">
        <v>695578997.62</v>
      </c>
      <c r="G1782">
        <v>0</v>
      </c>
    </row>
    <row r="1783" spans="1:7" x14ac:dyDescent="0.25">
      <c r="A1783" s="1">
        <v>45139</v>
      </c>
      <c r="B1783" t="s">
        <v>50</v>
      </c>
      <c r="C1783" t="s">
        <v>111</v>
      </c>
      <c r="D1783">
        <v>0</v>
      </c>
      <c r="E1783" s="2">
        <v>231859665.65000001</v>
      </c>
      <c r="F1783" s="2">
        <v>231859665.65000001</v>
      </c>
      <c r="G1783">
        <v>0</v>
      </c>
    </row>
    <row r="1784" spans="1:7" x14ac:dyDescent="0.25">
      <c r="A1784" s="1">
        <v>45139</v>
      </c>
      <c r="B1784" t="s">
        <v>45</v>
      </c>
      <c r="C1784" t="s">
        <v>112</v>
      </c>
      <c r="D1784" s="2">
        <v>92653198.200000003</v>
      </c>
      <c r="E1784" s="2">
        <v>1885558508.77</v>
      </c>
      <c r="F1784" s="2">
        <v>3031199487.7199998</v>
      </c>
      <c r="G1784" s="2">
        <v>1539146.7</v>
      </c>
    </row>
    <row r="1785" spans="1:7" x14ac:dyDescent="0.25">
      <c r="A1785" s="1">
        <v>45139</v>
      </c>
      <c r="B1785" t="s">
        <v>11</v>
      </c>
      <c r="C1785" t="s">
        <v>113</v>
      </c>
      <c r="D1785" s="2">
        <v>104113966.03</v>
      </c>
      <c r="E1785" s="2">
        <v>106424187.79000001</v>
      </c>
      <c r="F1785" s="2">
        <v>106424187.79000001</v>
      </c>
      <c r="G1785">
        <v>0</v>
      </c>
    </row>
    <row r="1786" spans="1:7" x14ac:dyDescent="0.25">
      <c r="A1786" s="1">
        <v>45139</v>
      </c>
      <c r="B1786" t="s">
        <v>80</v>
      </c>
      <c r="C1786" t="s">
        <v>114</v>
      </c>
      <c r="D1786" s="2">
        <v>4139063969.6700001</v>
      </c>
      <c r="E1786" s="2">
        <v>4141794090.0500002</v>
      </c>
      <c r="F1786" s="2">
        <v>4141794090.0500002</v>
      </c>
      <c r="G1786" s="2">
        <v>1695650.53</v>
      </c>
    </row>
    <row r="1787" spans="1:7" x14ac:dyDescent="0.25">
      <c r="A1787" s="1">
        <v>45139</v>
      </c>
      <c r="B1787" t="s">
        <v>63</v>
      </c>
      <c r="C1787" t="s">
        <v>116</v>
      </c>
      <c r="D1787" s="2">
        <v>44305.13</v>
      </c>
      <c r="E1787" s="2">
        <v>2445901427.1599998</v>
      </c>
      <c r="F1787" s="2">
        <v>1242677787.1300001</v>
      </c>
      <c r="G1787">
        <v>0</v>
      </c>
    </row>
    <row r="1788" spans="1:7" x14ac:dyDescent="0.25">
      <c r="A1788" s="1">
        <v>45139</v>
      </c>
      <c r="B1788" t="s">
        <v>31</v>
      </c>
      <c r="C1788" t="s">
        <v>117</v>
      </c>
      <c r="D1788">
        <v>0</v>
      </c>
      <c r="E1788">
        <v>0</v>
      </c>
      <c r="F1788">
        <v>0</v>
      </c>
      <c r="G1788" s="2">
        <v>3001572.93</v>
      </c>
    </row>
    <row r="1789" spans="1:7" x14ac:dyDescent="0.25">
      <c r="A1789" s="1">
        <v>45139</v>
      </c>
      <c r="B1789" t="s">
        <v>50</v>
      </c>
      <c r="C1789" t="s">
        <v>118</v>
      </c>
      <c r="D1789">
        <v>0</v>
      </c>
      <c r="E1789">
        <v>0</v>
      </c>
      <c r="F1789">
        <v>0</v>
      </c>
      <c r="G1789" s="2">
        <v>4773600</v>
      </c>
    </row>
    <row r="1790" spans="1:7" x14ac:dyDescent="0.25">
      <c r="A1790" s="1">
        <v>45139</v>
      </c>
      <c r="B1790" t="s">
        <v>50</v>
      </c>
      <c r="C1790" t="s">
        <v>119</v>
      </c>
      <c r="D1790">
        <v>0</v>
      </c>
      <c r="E1790">
        <v>0</v>
      </c>
      <c r="F1790">
        <v>0</v>
      </c>
      <c r="G1790" s="2">
        <v>128693778.48999999</v>
      </c>
    </row>
    <row r="1791" spans="1:7" x14ac:dyDescent="0.25">
      <c r="A1791" s="1">
        <v>45139</v>
      </c>
      <c r="B1791" t="s">
        <v>45</v>
      </c>
      <c r="C1791" t="s">
        <v>120</v>
      </c>
      <c r="D1791">
        <v>0</v>
      </c>
      <c r="E1791">
        <v>0</v>
      </c>
      <c r="F1791" s="2">
        <v>205271.03</v>
      </c>
      <c r="G1791">
        <v>0</v>
      </c>
    </row>
    <row r="1792" spans="1:7" x14ac:dyDescent="0.25">
      <c r="A1792" s="1">
        <v>45139</v>
      </c>
      <c r="B1792" t="s">
        <v>45</v>
      </c>
      <c r="C1792" t="s">
        <v>121</v>
      </c>
      <c r="D1792" s="2">
        <v>32617429.960000001</v>
      </c>
      <c r="E1792" s="2">
        <v>32617429.960000001</v>
      </c>
      <c r="F1792" s="2">
        <v>32617429.960000001</v>
      </c>
      <c r="G1792">
        <v>0</v>
      </c>
    </row>
    <row r="1793" spans="1:7" x14ac:dyDescent="0.25">
      <c r="A1793" s="1">
        <v>45139</v>
      </c>
      <c r="B1793" t="s">
        <v>61</v>
      </c>
      <c r="C1793" t="s">
        <v>122</v>
      </c>
      <c r="D1793" s="2">
        <v>2583587.36</v>
      </c>
      <c r="E1793" s="2">
        <v>4264423.09</v>
      </c>
      <c r="F1793" s="2">
        <v>5977669.3899999997</v>
      </c>
      <c r="G1793" s="2">
        <v>6706441.8399999999</v>
      </c>
    </row>
    <row r="1794" spans="1:7" x14ac:dyDescent="0.25">
      <c r="A1794" s="1">
        <v>45139</v>
      </c>
      <c r="B1794" t="s">
        <v>53</v>
      </c>
      <c r="C1794" t="s">
        <v>123</v>
      </c>
      <c r="D1794" s="2">
        <v>133000000</v>
      </c>
      <c r="E1794" s="2">
        <v>24938759.390000001</v>
      </c>
      <c r="F1794" s="2">
        <v>18644425.07</v>
      </c>
      <c r="G1794">
        <v>0</v>
      </c>
    </row>
    <row r="1795" spans="1:7" x14ac:dyDescent="0.25">
      <c r="A1795" s="1">
        <v>45139</v>
      </c>
      <c r="B1795" t="s">
        <v>29</v>
      </c>
      <c r="C1795" t="s">
        <v>124</v>
      </c>
      <c r="D1795" s="2">
        <v>198325273.43000001</v>
      </c>
      <c r="E1795" s="2">
        <v>201281436.18000001</v>
      </c>
      <c r="F1795" s="2">
        <v>170756154.03</v>
      </c>
      <c r="G1795" s="2">
        <v>6079736.5899999999</v>
      </c>
    </row>
    <row r="1796" spans="1:7" x14ac:dyDescent="0.25">
      <c r="A1796" s="1">
        <v>45139</v>
      </c>
      <c r="B1796" t="s">
        <v>125</v>
      </c>
      <c r="C1796" t="s">
        <v>126</v>
      </c>
      <c r="D1796" s="2">
        <v>36944697058</v>
      </c>
      <c r="E1796" s="2">
        <v>3924735698.1599998</v>
      </c>
      <c r="F1796" s="2">
        <v>88252463246.259995</v>
      </c>
      <c r="G1796" s="2">
        <v>862348.89</v>
      </c>
    </row>
    <row r="1797" spans="1:7" x14ac:dyDescent="0.25">
      <c r="A1797" s="1">
        <v>45139</v>
      </c>
      <c r="B1797" t="s">
        <v>127</v>
      </c>
      <c r="C1797" t="s">
        <v>128</v>
      </c>
      <c r="D1797">
        <v>0</v>
      </c>
      <c r="E1797" s="2">
        <v>1193908.42</v>
      </c>
      <c r="F1797">
        <v>0</v>
      </c>
      <c r="G1797" s="2">
        <v>3967479.53</v>
      </c>
    </row>
    <row r="1798" spans="1:7" x14ac:dyDescent="0.25">
      <c r="A1798" s="1">
        <v>45139</v>
      </c>
      <c r="B1798" t="s">
        <v>31</v>
      </c>
      <c r="C1798" t="s">
        <v>129</v>
      </c>
      <c r="D1798" s="2">
        <v>101002.1</v>
      </c>
      <c r="E1798" s="2">
        <v>1431.45</v>
      </c>
      <c r="F1798" s="2">
        <v>2098.16</v>
      </c>
      <c r="G1798" s="2">
        <v>101300</v>
      </c>
    </row>
    <row r="1799" spans="1:7" x14ac:dyDescent="0.25">
      <c r="A1799" s="1">
        <v>45139</v>
      </c>
      <c r="B1799" t="s">
        <v>130</v>
      </c>
      <c r="C1799" t="s">
        <v>131</v>
      </c>
      <c r="D1799" s="2">
        <v>140640589.41999999</v>
      </c>
      <c r="E1799" s="2">
        <v>275143075.20999998</v>
      </c>
      <c r="F1799" s="2">
        <v>274818075.20999998</v>
      </c>
      <c r="G1799" s="2">
        <v>2714693.38</v>
      </c>
    </row>
    <row r="1800" spans="1:7" x14ac:dyDescent="0.25">
      <c r="A1800" s="1">
        <v>45139</v>
      </c>
      <c r="B1800" t="s">
        <v>24</v>
      </c>
      <c r="C1800" t="s">
        <v>133</v>
      </c>
      <c r="D1800" s="2">
        <v>4379038.8099999996</v>
      </c>
      <c r="E1800">
        <v>0</v>
      </c>
      <c r="F1800">
        <v>0</v>
      </c>
      <c r="G1800" s="2">
        <v>617468696.47000003</v>
      </c>
    </row>
    <row r="1801" spans="1:7" x14ac:dyDescent="0.25">
      <c r="A1801" s="1">
        <v>45139</v>
      </c>
      <c r="B1801" t="s">
        <v>9</v>
      </c>
      <c r="C1801" t="s">
        <v>135</v>
      </c>
      <c r="D1801" s="2">
        <v>211132843.78</v>
      </c>
      <c r="E1801" s="2">
        <v>150956166.88</v>
      </c>
      <c r="F1801" s="2">
        <v>156721687.88</v>
      </c>
      <c r="G1801" s="2">
        <v>5209256.25</v>
      </c>
    </row>
    <row r="1802" spans="1:7" x14ac:dyDescent="0.25">
      <c r="A1802" s="1">
        <v>45139</v>
      </c>
      <c r="B1802" t="s">
        <v>37</v>
      </c>
      <c r="C1802" t="s">
        <v>136</v>
      </c>
      <c r="D1802" s="2">
        <v>492554406.44</v>
      </c>
      <c r="E1802" s="2">
        <v>2448934216.1999998</v>
      </c>
      <c r="F1802" s="2">
        <v>2450719497.9000001</v>
      </c>
      <c r="G1802" s="2">
        <v>91377962.239999995</v>
      </c>
    </row>
    <row r="1803" spans="1:7" x14ac:dyDescent="0.25">
      <c r="A1803" s="1">
        <v>45139</v>
      </c>
      <c r="B1803" t="s">
        <v>48</v>
      </c>
      <c r="C1803" t="s">
        <v>137</v>
      </c>
      <c r="D1803" s="2">
        <v>500000</v>
      </c>
      <c r="E1803">
        <v>0</v>
      </c>
      <c r="F1803">
        <v>0</v>
      </c>
      <c r="G1803" s="2">
        <v>179112.34</v>
      </c>
    </row>
    <row r="1804" spans="1:7" x14ac:dyDescent="0.25">
      <c r="A1804" s="1">
        <v>45139</v>
      </c>
      <c r="B1804" t="s">
        <v>31</v>
      </c>
      <c r="C1804" t="s">
        <v>138</v>
      </c>
      <c r="D1804" s="2">
        <v>1059367831.47</v>
      </c>
      <c r="E1804" s="2">
        <v>547853606.75</v>
      </c>
      <c r="F1804" s="2">
        <v>556605552.87</v>
      </c>
      <c r="G1804" s="2">
        <v>41801255.57</v>
      </c>
    </row>
    <row r="1805" spans="1:7" x14ac:dyDescent="0.25">
      <c r="A1805" s="1">
        <v>45139</v>
      </c>
      <c r="B1805" t="s">
        <v>22</v>
      </c>
      <c r="C1805" t="s">
        <v>139</v>
      </c>
      <c r="D1805" s="2">
        <v>6000</v>
      </c>
      <c r="E1805" s="2">
        <v>5429.25</v>
      </c>
      <c r="F1805" s="2">
        <v>5429.25</v>
      </c>
      <c r="G1805">
        <v>0</v>
      </c>
    </row>
    <row r="1806" spans="1:7" x14ac:dyDescent="0.25">
      <c r="A1806" s="1">
        <v>45139</v>
      </c>
      <c r="B1806" t="s">
        <v>27</v>
      </c>
      <c r="C1806" t="s">
        <v>142</v>
      </c>
      <c r="D1806" s="2">
        <v>10302592.699999999</v>
      </c>
      <c r="E1806" s="2">
        <v>146889953.30000001</v>
      </c>
      <c r="F1806" s="2">
        <v>146889953.30000001</v>
      </c>
      <c r="G1806" s="2">
        <v>110794.25</v>
      </c>
    </row>
    <row r="1807" spans="1:7" x14ac:dyDescent="0.25">
      <c r="A1807" s="1">
        <v>45139</v>
      </c>
      <c r="B1807" t="s">
        <v>31</v>
      </c>
      <c r="C1807" t="s">
        <v>143</v>
      </c>
      <c r="D1807" s="2">
        <v>69210695.459999993</v>
      </c>
      <c r="E1807" s="2">
        <v>13315751.82</v>
      </c>
      <c r="F1807" s="2">
        <v>12219922.630000001</v>
      </c>
      <c r="G1807" s="2">
        <v>23416946.710000001</v>
      </c>
    </row>
    <row r="1808" spans="1:7" x14ac:dyDescent="0.25">
      <c r="A1808" s="1">
        <v>45139</v>
      </c>
      <c r="B1808" t="s">
        <v>61</v>
      </c>
      <c r="C1808" t="s">
        <v>144</v>
      </c>
      <c r="D1808" s="2">
        <v>42847.7</v>
      </c>
      <c r="E1808" s="2">
        <v>252892.6</v>
      </c>
      <c r="F1808" s="2">
        <v>952610.89</v>
      </c>
      <c r="G1808">
        <v>0</v>
      </c>
    </row>
    <row r="1809" spans="1:7" x14ac:dyDescent="0.25">
      <c r="A1809" s="1">
        <v>45139</v>
      </c>
      <c r="B1809" t="s">
        <v>37</v>
      </c>
      <c r="C1809" t="s">
        <v>145</v>
      </c>
      <c r="D1809" s="2">
        <v>-3099674.91</v>
      </c>
      <c r="E1809" s="2">
        <v>14661774.27</v>
      </c>
      <c r="F1809" s="2">
        <v>206235113.28999999</v>
      </c>
      <c r="G1809" s="2">
        <v>1484051.73</v>
      </c>
    </row>
    <row r="1810" spans="1:7" x14ac:dyDescent="0.25">
      <c r="A1810" s="1">
        <v>45139</v>
      </c>
      <c r="B1810" t="s">
        <v>16</v>
      </c>
      <c r="C1810" t="s">
        <v>146</v>
      </c>
      <c r="D1810" s="2">
        <v>164743855.61000001</v>
      </c>
      <c r="E1810" s="2">
        <v>25776776.510000002</v>
      </c>
      <c r="F1810" s="2">
        <v>47861143.200000003</v>
      </c>
      <c r="G1810" s="2">
        <v>3785001.36</v>
      </c>
    </row>
    <row r="1811" spans="1:7" x14ac:dyDescent="0.25">
      <c r="A1811" s="1">
        <v>45139</v>
      </c>
      <c r="B1811" t="s">
        <v>29</v>
      </c>
      <c r="C1811" t="s">
        <v>147</v>
      </c>
      <c r="D1811" s="2">
        <v>16286458.4</v>
      </c>
      <c r="E1811" s="2">
        <v>14328250.939999999</v>
      </c>
      <c r="F1811" s="2">
        <v>29015688.52</v>
      </c>
      <c r="G1811" s="2">
        <v>4568608.5599999996</v>
      </c>
    </row>
    <row r="1812" spans="1:7" x14ac:dyDescent="0.25">
      <c r="A1812" s="1">
        <v>45139</v>
      </c>
      <c r="B1812" t="s">
        <v>24</v>
      </c>
      <c r="C1812" t="s">
        <v>148</v>
      </c>
      <c r="D1812" s="2">
        <v>3032993.33</v>
      </c>
      <c r="E1812" s="2">
        <v>4135889.95</v>
      </c>
      <c r="F1812" s="2">
        <v>20338123.600000001</v>
      </c>
      <c r="G1812" s="2">
        <v>1153894.71</v>
      </c>
    </row>
    <row r="1813" spans="1:7" x14ac:dyDescent="0.25">
      <c r="A1813" s="1">
        <v>45139</v>
      </c>
      <c r="B1813" t="s">
        <v>22</v>
      </c>
      <c r="C1813" t="s">
        <v>149</v>
      </c>
      <c r="D1813" s="2">
        <v>11162069.01</v>
      </c>
      <c r="E1813" s="2">
        <v>33455065.399999999</v>
      </c>
      <c r="F1813" s="2">
        <v>183886436.61000001</v>
      </c>
      <c r="G1813" s="2">
        <v>3231336.8</v>
      </c>
    </row>
    <row r="1814" spans="1:7" x14ac:dyDescent="0.25">
      <c r="A1814" s="1">
        <v>45139</v>
      </c>
      <c r="B1814" t="s">
        <v>22</v>
      </c>
      <c r="C1814" t="s">
        <v>150</v>
      </c>
      <c r="D1814" s="2">
        <v>47724668.899999999</v>
      </c>
      <c r="E1814" s="2">
        <v>17034346.289999999</v>
      </c>
      <c r="F1814" s="2">
        <v>88079475.560000002</v>
      </c>
      <c r="G1814" s="2">
        <v>2746107.33</v>
      </c>
    </row>
    <row r="1815" spans="1:7" x14ac:dyDescent="0.25">
      <c r="A1815" s="1">
        <v>45139</v>
      </c>
      <c r="B1815" t="s">
        <v>77</v>
      </c>
      <c r="C1815" t="s">
        <v>151</v>
      </c>
      <c r="D1815" s="2">
        <v>27312.07</v>
      </c>
      <c r="E1815" s="2">
        <v>5826636.5499999998</v>
      </c>
      <c r="F1815" s="2">
        <v>48940840.270000003</v>
      </c>
      <c r="G1815" s="2">
        <v>341704.64</v>
      </c>
    </row>
    <row r="1816" spans="1:7" x14ac:dyDescent="0.25">
      <c r="A1816" s="1">
        <v>45139</v>
      </c>
      <c r="B1816" t="s">
        <v>22</v>
      </c>
      <c r="C1816" t="s">
        <v>152</v>
      </c>
      <c r="D1816" s="2">
        <v>3308261.4</v>
      </c>
      <c r="E1816" s="2">
        <v>3209437.86</v>
      </c>
      <c r="F1816" s="2">
        <v>7650589.8099999996</v>
      </c>
      <c r="G1816" s="2">
        <v>75048.73</v>
      </c>
    </row>
    <row r="1817" spans="1:7" x14ac:dyDescent="0.25">
      <c r="A1817" s="1">
        <v>45139</v>
      </c>
      <c r="B1817" t="s">
        <v>24</v>
      </c>
      <c r="C1817" t="s">
        <v>153</v>
      </c>
      <c r="D1817" s="2">
        <v>21708057.719999999</v>
      </c>
      <c r="E1817" s="2">
        <v>14064927.76</v>
      </c>
      <c r="F1817" s="2">
        <v>40452478.329999998</v>
      </c>
      <c r="G1817" s="2">
        <v>2448788.89</v>
      </c>
    </row>
    <row r="1818" spans="1:7" x14ac:dyDescent="0.25">
      <c r="A1818" s="1">
        <v>45139</v>
      </c>
      <c r="B1818" t="s">
        <v>37</v>
      </c>
      <c r="C1818" t="s">
        <v>154</v>
      </c>
      <c r="D1818" s="2">
        <v>4861917.8</v>
      </c>
      <c r="E1818" s="2">
        <v>5776005.6399999997</v>
      </c>
      <c r="F1818" s="2">
        <v>44682048.920000002</v>
      </c>
      <c r="G1818" s="2">
        <v>1189189.21</v>
      </c>
    </row>
    <row r="1819" spans="1:7" x14ac:dyDescent="0.25">
      <c r="A1819" s="1">
        <v>45139</v>
      </c>
      <c r="B1819" t="s">
        <v>37</v>
      </c>
      <c r="C1819" t="s">
        <v>155</v>
      </c>
      <c r="D1819" s="2">
        <v>5611633.4900000002</v>
      </c>
      <c r="E1819" s="2">
        <v>3006210.79</v>
      </c>
      <c r="F1819" s="2">
        <v>47739159.210000001</v>
      </c>
      <c r="G1819" s="2">
        <v>483211.19</v>
      </c>
    </row>
    <row r="1820" spans="1:7" x14ac:dyDescent="0.25">
      <c r="A1820" s="1">
        <v>45139</v>
      </c>
      <c r="B1820" t="s">
        <v>37</v>
      </c>
      <c r="C1820" t="s">
        <v>156</v>
      </c>
      <c r="D1820" s="2">
        <v>2769402.23</v>
      </c>
      <c r="E1820" s="2">
        <v>5829102.5499999998</v>
      </c>
      <c r="F1820" s="2">
        <v>79932552.349999994</v>
      </c>
      <c r="G1820" s="2">
        <v>654812.76</v>
      </c>
    </row>
    <row r="1821" spans="1:7" x14ac:dyDescent="0.25">
      <c r="A1821" s="1">
        <v>45139</v>
      </c>
      <c r="B1821" t="s">
        <v>37</v>
      </c>
      <c r="C1821" t="s">
        <v>157</v>
      </c>
      <c r="D1821" s="2">
        <v>5792743.6399999997</v>
      </c>
      <c r="E1821" s="2">
        <v>5250356.67</v>
      </c>
      <c r="F1821" s="2">
        <v>73802161.069999993</v>
      </c>
      <c r="G1821" s="2">
        <v>2804281.29</v>
      </c>
    </row>
    <row r="1822" spans="1:7" x14ac:dyDescent="0.25">
      <c r="A1822" s="1">
        <v>45139</v>
      </c>
      <c r="B1822" t="s">
        <v>37</v>
      </c>
      <c r="C1822" t="s">
        <v>158</v>
      </c>
      <c r="D1822" s="2">
        <v>9962004.8800000008</v>
      </c>
      <c r="E1822" s="2">
        <v>5804710.3499999996</v>
      </c>
      <c r="F1822" s="2">
        <v>45397445.560000002</v>
      </c>
      <c r="G1822" s="2">
        <v>1368815.4</v>
      </c>
    </row>
    <row r="1823" spans="1:7" x14ac:dyDescent="0.25">
      <c r="A1823" s="1">
        <v>45139</v>
      </c>
      <c r="B1823" t="s">
        <v>37</v>
      </c>
      <c r="C1823" t="s">
        <v>159</v>
      </c>
      <c r="D1823" s="2">
        <v>3631707.12</v>
      </c>
      <c r="E1823" s="2">
        <v>3448502.76</v>
      </c>
      <c r="F1823" s="2">
        <v>30105788.41</v>
      </c>
      <c r="G1823" s="2">
        <v>944812.22</v>
      </c>
    </row>
    <row r="1824" spans="1:7" x14ac:dyDescent="0.25">
      <c r="A1824" s="1">
        <v>45139</v>
      </c>
      <c r="B1824" t="s">
        <v>37</v>
      </c>
      <c r="C1824" t="s">
        <v>160</v>
      </c>
      <c r="D1824" s="2">
        <v>41948158.57</v>
      </c>
      <c r="E1824" s="2">
        <v>6922669.6600000001</v>
      </c>
      <c r="F1824" s="2">
        <v>62394290.030000001</v>
      </c>
      <c r="G1824" s="2">
        <v>934251.7</v>
      </c>
    </row>
    <row r="1825" spans="1:7" x14ac:dyDescent="0.25">
      <c r="A1825" s="1">
        <v>45139</v>
      </c>
      <c r="B1825" t="s">
        <v>37</v>
      </c>
      <c r="C1825" t="s">
        <v>161</v>
      </c>
      <c r="D1825" s="2">
        <v>3119211.76</v>
      </c>
      <c r="E1825" s="2">
        <v>5638913.7599999998</v>
      </c>
      <c r="F1825" s="2">
        <v>56874173.600000001</v>
      </c>
      <c r="G1825" s="2">
        <v>1293656.32</v>
      </c>
    </row>
    <row r="1826" spans="1:7" x14ac:dyDescent="0.25">
      <c r="A1826" s="1">
        <v>45139</v>
      </c>
      <c r="B1826" t="s">
        <v>37</v>
      </c>
      <c r="C1826" t="s">
        <v>162</v>
      </c>
      <c r="D1826" s="2">
        <v>2149874.38</v>
      </c>
      <c r="E1826" s="2">
        <v>4879546.47</v>
      </c>
      <c r="F1826" s="2">
        <v>73601067.879999995</v>
      </c>
      <c r="G1826" s="2">
        <v>446921.36</v>
      </c>
    </row>
    <row r="1827" spans="1:7" x14ac:dyDescent="0.25">
      <c r="A1827" s="1">
        <v>45139</v>
      </c>
      <c r="B1827" t="s">
        <v>37</v>
      </c>
      <c r="C1827" t="s">
        <v>163</v>
      </c>
      <c r="D1827" s="2">
        <v>3643242.55</v>
      </c>
      <c r="E1827" s="2">
        <v>4078205.03</v>
      </c>
      <c r="F1827" s="2">
        <v>29801880.34</v>
      </c>
      <c r="G1827" s="2">
        <v>5498705.1299999999</v>
      </c>
    </row>
    <row r="1828" spans="1:7" x14ac:dyDescent="0.25">
      <c r="A1828" s="1">
        <v>45139</v>
      </c>
      <c r="B1828" t="s">
        <v>37</v>
      </c>
      <c r="C1828" t="s">
        <v>164</v>
      </c>
      <c r="D1828" s="2">
        <v>1121876.1100000001</v>
      </c>
      <c r="E1828" s="2">
        <v>1672905.07</v>
      </c>
      <c r="F1828" s="2">
        <v>17942878.109999999</v>
      </c>
      <c r="G1828" s="2">
        <v>818401.12</v>
      </c>
    </row>
    <row r="1829" spans="1:7" x14ac:dyDescent="0.25">
      <c r="A1829" s="1">
        <v>45139</v>
      </c>
      <c r="B1829" t="s">
        <v>37</v>
      </c>
      <c r="C1829" t="s">
        <v>165</v>
      </c>
      <c r="D1829" s="2">
        <v>4550178.49</v>
      </c>
      <c r="E1829" s="2">
        <v>4594827.03</v>
      </c>
      <c r="F1829" s="2">
        <v>77445987.890000001</v>
      </c>
      <c r="G1829" s="2">
        <v>865033.26</v>
      </c>
    </row>
    <row r="1830" spans="1:7" x14ac:dyDescent="0.25">
      <c r="A1830" s="1">
        <v>45139</v>
      </c>
      <c r="B1830" t="s">
        <v>37</v>
      </c>
      <c r="C1830" t="s">
        <v>166</v>
      </c>
      <c r="D1830" s="2">
        <v>395788.09</v>
      </c>
      <c r="E1830" s="2">
        <v>2308895.83</v>
      </c>
      <c r="F1830" s="2">
        <v>35930023.68</v>
      </c>
      <c r="G1830" s="2">
        <v>298983.62</v>
      </c>
    </row>
    <row r="1831" spans="1:7" x14ac:dyDescent="0.25">
      <c r="A1831" s="1">
        <v>45139</v>
      </c>
      <c r="B1831" t="s">
        <v>37</v>
      </c>
      <c r="C1831" t="s">
        <v>167</v>
      </c>
      <c r="D1831" s="2">
        <v>24015184.050000001</v>
      </c>
      <c r="E1831" s="2">
        <v>8271097.1399999997</v>
      </c>
      <c r="F1831" s="2">
        <v>125874109.48</v>
      </c>
      <c r="G1831" s="2">
        <v>4089308.95</v>
      </c>
    </row>
    <row r="1832" spans="1:7" x14ac:dyDescent="0.25">
      <c r="A1832" s="1">
        <v>45139</v>
      </c>
      <c r="B1832" t="s">
        <v>37</v>
      </c>
      <c r="C1832" t="s">
        <v>168</v>
      </c>
      <c r="D1832" s="2">
        <v>1222567.8999999999</v>
      </c>
      <c r="E1832" s="2">
        <v>1142067.67</v>
      </c>
      <c r="F1832" s="2">
        <v>16016560.23</v>
      </c>
      <c r="G1832" s="2">
        <v>286182.21000000002</v>
      </c>
    </row>
    <row r="1833" spans="1:7" x14ac:dyDescent="0.25">
      <c r="A1833" s="1">
        <v>45139</v>
      </c>
      <c r="B1833" t="s">
        <v>37</v>
      </c>
      <c r="C1833" t="s">
        <v>169</v>
      </c>
      <c r="D1833" s="2">
        <v>9307326.1999999993</v>
      </c>
      <c r="E1833" s="2">
        <v>1635983.9</v>
      </c>
      <c r="F1833" s="2">
        <v>13277272.5</v>
      </c>
      <c r="G1833" s="2">
        <v>713813.4</v>
      </c>
    </row>
    <row r="1834" spans="1:7" x14ac:dyDescent="0.25">
      <c r="A1834" s="1">
        <v>45139</v>
      </c>
      <c r="B1834" t="s">
        <v>37</v>
      </c>
      <c r="C1834" t="s">
        <v>170</v>
      </c>
      <c r="D1834" s="2">
        <v>8109776.3099999996</v>
      </c>
      <c r="E1834" s="2">
        <v>3451822.43</v>
      </c>
      <c r="F1834" s="2">
        <v>48787204.920000002</v>
      </c>
      <c r="G1834" s="2">
        <v>761781.13</v>
      </c>
    </row>
    <row r="1835" spans="1:7" x14ac:dyDescent="0.25">
      <c r="A1835" s="1">
        <v>45139</v>
      </c>
      <c r="B1835" t="s">
        <v>37</v>
      </c>
      <c r="C1835" t="s">
        <v>171</v>
      </c>
      <c r="D1835" s="2">
        <v>10875934.140000001</v>
      </c>
      <c r="E1835" s="2">
        <v>6901495.5199999996</v>
      </c>
      <c r="F1835" s="2">
        <v>100204970.81</v>
      </c>
      <c r="G1835" s="2">
        <v>840956.4</v>
      </c>
    </row>
    <row r="1836" spans="1:7" x14ac:dyDescent="0.25">
      <c r="A1836" s="1">
        <v>45139</v>
      </c>
      <c r="B1836" t="s">
        <v>37</v>
      </c>
      <c r="C1836" t="s">
        <v>172</v>
      </c>
      <c r="D1836" s="2">
        <v>8170258.8899999997</v>
      </c>
      <c r="E1836" s="2">
        <v>13301875.710000001</v>
      </c>
      <c r="F1836" s="2">
        <v>97399294.859999999</v>
      </c>
      <c r="G1836" s="2">
        <v>1871743.9</v>
      </c>
    </row>
    <row r="1837" spans="1:7" x14ac:dyDescent="0.25">
      <c r="A1837" s="1">
        <v>45139</v>
      </c>
      <c r="B1837" t="s">
        <v>37</v>
      </c>
      <c r="C1837" t="s">
        <v>173</v>
      </c>
      <c r="D1837" s="2">
        <v>38362464.530000001</v>
      </c>
      <c r="E1837" s="2">
        <v>36844978.289999999</v>
      </c>
      <c r="F1837" s="2">
        <v>83114940.859999999</v>
      </c>
      <c r="G1837" s="2">
        <v>4048363.53</v>
      </c>
    </row>
    <row r="1838" spans="1:7" x14ac:dyDescent="0.25">
      <c r="A1838" s="1">
        <v>45139</v>
      </c>
      <c r="B1838" t="s">
        <v>37</v>
      </c>
      <c r="C1838" t="s">
        <v>174</v>
      </c>
      <c r="D1838" s="2">
        <v>10980744.720000001</v>
      </c>
      <c r="E1838" s="2">
        <v>8942737.6400000006</v>
      </c>
      <c r="F1838" s="2">
        <v>66372479.5</v>
      </c>
      <c r="G1838" s="2">
        <v>689240.33</v>
      </c>
    </row>
    <row r="1839" spans="1:7" x14ac:dyDescent="0.25">
      <c r="A1839" s="1">
        <v>45139</v>
      </c>
      <c r="B1839" t="s">
        <v>37</v>
      </c>
      <c r="C1839" t="s">
        <v>175</v>
      </c>
      <c r="D1839" s="2">
        <v>4258408.83</v>
      </c>
      <c r="E1839" s="2">
        <v>3331131.53</v>
      </c>
      <c r="F1839" s="2">
        <v>29372199.460000001</v>
      </c>
      <c r="G1839" s="2">
        <v>1038104.09</v>
      </c>
    </row>
    <row r="1840" spans="1:7" x14ac:dyDescent="0.25">
      <c r="A1840" s="1">
        <v>45139</v>
      </c>
      <c r="B1840" t="s">
        <v>37</v>
      </c>
      <c r="C1840" t="s">
        <v>176</v>
      </c>
      <c r="D1840" s="2">
        <v>42716046.829999998</v>
      </c>
      <c r="E1840" s="2">
        <v>4159847.27</v>
      </c>
      <c r="F1840" s="2">
        <v>36032771.299999997</v>
      </c>
      <c r="G1840" s="2">
        <v>849843.76</v>
      </c>
    </row>
    <row r="1841" spans="1:7" x14ac:dyDescent="0.25">
      <c r="A1841" s="1">
        <v>45139</v>
      </c>
      <c r="B1841" t="s">
        <v>37</v>
      </c>
      <c r="C1841" t="s">
        <v>177</v>
      </c>
      <c r="D1841" s="2">
        <v>3947853.34</v>
      </c>
      <c r="E1841" s="2">
        <v>3722741.41</v>
      </c>
      <c r="F1841" s="2">
        <v>58627497.93</v>
      </c>
      <c r="G1841" s="2">
        <v>1435685.96</v>
      </c>
    </row>
    <row r="1842" spans="1:7" x14ac:dyDescent="0.25">
      <c r="A1842" s="1">
        <v>45139</v>
      </c>
      <c r="B1842" t="s">
        <v>37</v>
      </c>
      <c r="C1842" t="s">
        <v>178</v>
      </c>
      <c r="D1842" s="2">
        <v>2217947.8199999998</v>
      </c>
      <c r="E1842" s="2">
        <v>4504742.5</v>
      </c>
      <c r="F1842" s="2">
        <v>65107622.990000002</v>
      </c>
      <c r="G1842" s="2">
        <v>577499.42000000004</v>
      </c>
    </row>
    <row r="1843" spans="1:7" x14ac:dyDescent="0.25">
      <c r="A1843" s="1">
        <v>45139</v>
      </c>
      <c r="B1843" t="s">
        <v>37</v>
      </c>
      <c r="C1843" t="s">
        <v>179</v>
      </c>
      <c r="D1843" s="2">
        <v>7608238.25</v>
      </c>
      <c r="E1843" s="2">
        <v>4937030.5599999996</v>
      </c>
      <c r="F1843" s="2">
        <v>62777275.259999998</v>
      </c>
      <c r="G1843" s="2">
        <v>286947.24</v>
      </c>
    </row>
    <row r="1844" spans="1:7" x14ac:dyDescent="0.25">
      <c r="A1844" s="1">
        <v>45139</v>
      </c>
      <c r="B1844" t="s">
        <v>37</v>
      </c>
      <c r="C1844" t="s">
        <v>180</v>
      </c>
      <c r="D1844" s="2">
        <v>24656277.68</v>
      </c>
      <c r="E1844" s="2">
        <v>3387414.84</v>
      </c>
      <c r="F1844" s="2">
        <v>55371746.390000001</v>
      </c>
      <c r="G1844" s="2">
        <v>481118.45</v>
      </c>
    </row>
    <row r="1845" spans="1:7" x14ac:dyDescent="0.25">
      <c r="A1845" s="1">
        <v>45139</v>
      </c>
      <c r="B1845" t="s">
        <v>37</v>
      </c>
      <c r="C1845" t="s">
        <v>181</v>
      </c>
      <c r="D1845" s="2">
        <v>10142616.01</v>
      </c>
      <c r="E1845" s="2">
        <v>6194343.4900000002</v>
      </c>
      <c r="F1845" s="2">
        <v>81923900.469999999</v>
      </c>
      <c r="G1845" s="2">
        <v>2818293.86</v>
      </c>
    </row>
    <row r="1846" spans="1:7" x14ac:dyDescent="0.25">
      <c r="A1846" s="1">
        <v>45139</v>
      </c>
      <c r="B1846" t="s">
        <v>37</v>
      </c>
      <c r="C1846" t="s">
        <v>182</v>
      </c>
      <c r="D1846" s="2">
        <v>39848283</v>
      </c>
      <c r="E1846" s="2">
        <v>4237110.2300000004</v>
      </c>
      <c r="F1846" s="2">
        <v>61672630.920000002</v>
      </c>
      <c r="G1846" s="2">
        <v>2033444.89</v>
      </c>
    </row>
    <row r="1847" spans="1:7" x14ac:dyDescent="0.25">
      <c r="A1847" s="1">
        <v>45139</v>
      </c>
      <c r="B1847" t="s">
        <v>37</v>
      </c>
      <c r="C1847" t="s">
        <v>183</v>
      </c>
      <c r="D1847" s="2">
        <v>1282561.79</v>
      </c>
      <c r="E1847" s="2">
        <v>2249269.67</v>
      </c>
      <c r="F1847" s="2">
        <v>25595918.77</v>
      </c>
      <c r="G1847" s="2">
        <v>496771.34</v>
      </c>
    </row>
    <row r="1848" spans="1:7" x14ac:dyDescent="0.25">
      <c r="A1848" s="1">
        <v>45139</v>
      </c>
      <c r="B1848" t="s">
        <v>37</v>
      </c>
      <c r="C1848" t="s">
        <v>184</v>
      </c>
      <c r="D1848" s="2">
        <v>4446569</v>
      </c>
      <c r="E1848" s="2">
        <v>2418689.14</v>
      </c>
      <c r="F1848" s="2">
        <v>38716868.57</v>
      </c>
      <c r="G1848" s="2">
        <v>895441.41</v>
      </c>
    </row>
    <row r="1849" spans="1:7" x14ac:dyDescent="0.25">
      <c r="A1849" s="1">
        <v>45139</v>
      </c>
      <c r="B1849" t="s">
        <v>37</v>
      </c>
      <c r="C1849" t="s">
        <v>185</v>
      </c>
      <c r="D1849" s="2">
        <v>7279893.2400000002</v>
      </c>
      <c r="E1849" s="2">
        <v>4193905.58</v>
      </c>
      <c r="F1849" s="2">
        <v>38669182.490000002</v>
      </c>
      <c r="G1849" s="2">
        <v>867657.27</v>
      </c>
    </row>
    <row r="1850" spans="1:7" x14ac:dyDescent="0.25">
      <c r="A1850" s="1">
        <v>45139</v>
      </c>
      <c r="B1850" t="s">
        <v>37</v>
      </c>
      <c r="C1850" t="s">
        <v>186</v>
      </c>
      <c r="D1850" s="2">
        <v>3440071.04</v>
      </c>
      <c r="E1850" s="2">
        <v>3585911.5</v>
      </c>
      <c r="F1850" s="2">
        <v>31488747.399999999</v>
      </c>
      <c r="G1850" s="2">
        <v>293530.62</v>
      </c>
    </row>
    <row r="1851" spans="1:7" x14ac:dyDescent="0.25">
      <c r="A1851" s="1">
        <v>45139</v>
      </c>
      <c r="B1851" t="s">
        <v>37</v>
      </c>
      <c r="C1851" t="s">
        <v>187</v>
      </c>
      <c r="D1851" s="2">
        <v>610239.43000000005</v>
      </c>
      <c r="E1851" s="2">
        <v>2078586</v>
      </c>
      <c r="F1851" s="2">
        <v>32438291.75</v>
      </c>
      <c r="G1851" s="2">
        <v>239662.76</v>
      </c>
    </row>
    <row r="1852" spans="1:7" x14ac:dyDescent="0.25">
      <c r="A1852" s="1">
        <v>45139</v>
      </c>
      <c r="B1852" t="s">
        <v>37</v>
      </c>
      <c r="C1852" t="s">
        <v>188</v>
      </c>
      <c r="D1852" s="2">
        <v>1285292.6599999999</v>
      </c>
      <c r="E1852" s="2">
        <v>4336527.93</v>
      </c>
      <c r="F1852" s="2">
        <v>40507505.390000001</v>
      </c>
      <c r="G1852" s="2">
        <v>879211.3</v>
      </c>
    </row>
    <row r="1853" spans="1:7" x14ac:dyDescent="0.25">
      <c r="A1853" s="1">
        <v>45139</v>
      </c>
      <c r="B1853" t="s">
        <v>37</v>
      </c>
      <c r="C1853" t="s">
        <v>189</v>
      </c>
      <c r="D1853" s="2">
        <v>2134279.31</v>
      </c>
      <c r="E1853" s="2">
        <v>3686883.44</v>
      </c>
      <c r="F1853" s="2">
        <v>51500981.939999998</v>
      </c>
      <c r="G1853" s="2">
        <v>645328.64000000001</v>
      </c>
    </row>
    <row r="1854" spans="1:7" x14ac:dyDescent="0.25">
      <c r="A1854" s="1">
        <v>45139</v>
      </c>
      <c r="B1854" t="s">
        <v>37</v>
      </c>
      <c r="C1854" t="s">
        <v>190</v>
      </c>
      <c r="D1854" s="2">
        <v>6703123.5300000003</v>
      </c>
      <c r="E1854" s="2">
        <v>4898510.71</v>
      </c>
      <c r="F1854" s="2">
        <v>40954583.770000003</v>
      </c>
      <c r="G1854" s="2">
        <v>791287.84</v>
      </c>
    </row>
    <row r="1855" spans="1:7" x14ac:dyDescent="0.25">
      <c r="A1855" s="1">
        <v>45139</v>
      </c>
      <c r="B1855" t="s">
        <v>37</v>
      </c>
      <c r="C1855" t="s">
        <v>191</v>
      </c>
      <c r="D1855" s="2">
        <v>115276579.62</v>
      </c>
      <c r="E1855" s="2">
        <v>3444728.17</v>
      </c>
      <c r="F1855" s="2">
        <v>60724195.149999999</v>
      </c>
      <c r="G1855" s="2">
        <v>58198.99</v>
      </c>
    </row>
    <row r="1856" spans="1:7" x14ac:dyDescent="0.25">
      <c r="A1856" s="1">
        <v>45139</v>
      </c>
      <c r="B1856" t="s">
        <v>192</v>
      </c>
      <c r="C1856" t="s">
        <v>193</v>
      </c>
      <c r="D1856" s="2">
        <v>142096.91</v>
      </c>
      <c r="E1856" s="2">
        <v>2908286.4</v>
      </c>
      <c r="F1856" s="2">
        <v>41500890.219999999</v>
      </c>
      <c r="G1856">
        <v>0</v>
      </c>
    </row>
    <row r="1857" spans="1:7" x14ac:dyDescent="0.25">
      <c r="A1857" s="1">
        <v>45139</v>
      </c>
      <c r="B1857" t="s">
        <v>53</v>
      </c>
      <c r="C1857" t="s">
        <v>194</v>
      </c>
      <c r="D1857" s="2">
        <v>61267472.82</v>
      </c>
      <c r="E1857" s="2">
        <v>14997286.98</v>
      </c>
      <c r="F1857" s="2">
        <v>178768669.31</v>
      </c>
      <c r="G1857" s="2">
        <v>7186630.96</v>
      </c>
    </row>
    <row r="1858" spans="1:7" x14ac:dyDescent="0.25">
      <c r="A1858" s="1">
        <v>45139</v>
      </c>
      <c r="B1858" t="s">
        <v>37</v>
      </c>
      <c r="C1858" t="s">
        <v>195</v>
      </c>
      <c r="D1858" s="2">
        <v>39204221.729999997</v>
      </c>
      <c r="E1858" s="2">
        <v>13188628.029999999</v>
      </c>
      <c r="F1858" s="2">
        <v>21765873.300000001</v>
      </c>
      <c r="G1858" s="2">
        <v>53769.06</v>
      </c>
    </row>
    <row r="1859" spans="1:7" x14ac:dyDescent="0.25">
      <c r="A1859" s="1">
        <v>45139</v>
      </c>
      <c r="B1859" t="s">
        <v>192</v>
      </c>
      <c r="C1859" t="s">
        <v>196</v>
      </c>
      <c r="D1859" s="2">
        <v>12184601.529999999</v>
      </c>
      <c r="E1859" s="2">
        <v>50928266.340000004</v>
      </c>
      <c r="F1859" s="2">
        <v>83388132.400000006</v>
      </c>
      <c r="G1859">
        <v>560.47</v>
      </c>
    </row>
    <row r="1860" spans="1:7" x14ac:dyDescent="0.25">
      <c r="A1860" s="1">
        <v>45139</v>
      </c>
      <c r="B1860" t="s">
        <v>61</v>
      </c>
      <c r="C1860" t="s">
        <v>197</v>
      </c>
      <c r="D1860" s="2">
        <v>33617.769999999997</v>
      </c>
      <c r="E1860" s="2">
        <v>2296537.84</v>
      </c>
      <c r="F1860" s="2">
        <v>2331679.79</v>
      </c>
      <c r="G1860" s="2">
        <v>366804</v>
      </c>
    </row>
    <row r="1861" spans="1:7" x14ac:dyDescent="0.25">
      <c r="A1861" s="1">
        <v>45139</v>
      </c>
      <c r="B1861" t="s">
        <v>125</v>
      </c>
      <c r="C1861" t="s">
        <v>198</v>
      </c>
      <c r="D1861" s="2">
        <v>22373160.870000001</v>
      </c>
      <c r="E1861" s="2">
        <v>1058407484.09</v>
      </c>
      <c r="F1861" s="2">
        <v>8072050797.0500002</v>
      </c>
      <c r="G1861" s="2">
        <v>1781810.34</v>
      </c>
    </row>
    <row r="1862" spans="1:7" x14ac:dyDescent="0.25">
      <c r="A1862" s="1">
        <v>45139</v>
      </c>
      <c r="B1862" t="s">
        <v>63</v>
      </c>
      <c r="C1862" t="s">
        <v>199</v>
      </c>
      <c r="D1862" s="2">
        <v>491012232.51999998</v>
      </c>
      <c r="E1862" s="2">
        <v>181673409.63</v>
      </c>
      <c r="F1862" s="2">
        <v>558840753.58000004</v>
      </c>
      <c r="G1862" s="2">
        <v>250692244.91</v>
      </c>
    </row>
    <row r="1863" spans="1:7" x14ac:dyDescent="0.25">
      <c r="A1863" s="1">
        <v>45139</v>
      </c>
      <c r="B1863" t="s">
        <v>9</v>
      </c>
      <c r="C1863" t="s">
        <v>200</v>
      </c>
      <c r="D1863" s="2">
        <v>5274981.8499999996</v>
      </c>
      <c r="E1863" s="2">
        <v>57478154.990000002</v>
      </c>
      <c r="F1863" s="2">
        <v>311622296.33999997</v>
      </c>
      <c r="G1863" s="2">
        <v>5129959.4400000004</v>
      </c>
    </row>
    <row r="1864" spans="1:7" x14ac:dyDescent="0.25">
      <c r="A1864" s="1">
        <v>45139</v>
      </c>
      <c r="B1864" t="s">
        <v>24</v>
      </c>
      <c r="C1864" t="s">
        <v>201</v>
      </c>
      <c r="D1864" s="2">
        <v>21458412.050000001</v>
      </c>
      <c r="E1864" s="2">
        <v>15238661.060000001</v>
      </c>
      <c r="F1864" s="2">
        <v>30110055.300000001</v>
      </c>
      <c r="G1864" s="2">
        <v>1185458.33</v>
      </c>
    </row>
    <row r="1865" spans="1:7" x14ac:dyDescent="0.25">
      <c r="A1865" s="1">
        <v>45139</v>
      </c>
      <c r="B1865" t="s">
        <v>29</v>
      </c>
      <c r="C1865" t="s">
        <v>202</v>
      </c>
      <c r="D1865" s="2">
        <v>46819491.979999997</v>
      </c>
      <c r="E1865" s="2">
        <v>33645582.619999997</v>
      </c>
      <c r="F1865" s="2">
        <v>74322691.629999995</v>
      </c>
      <c r="G1865" s="2">
        <v>71377690.319999993</v>
      </c>
    </row>
    <row r="1866" spans="1:7" x14ac:dyDescent="0.25">
      <c r="A1866" s="1">
        <v>45139</v>
      </c>
      <c r="B1866" t="s">
        <v>37</v>
      </c>
      <c r="C1866" t="s">
        <v>203</v>
      </c>
      <c r="D1866" s="2">
        <v>21947344.850000001</v>
      </c>
      <c r="E1866" s="2">
        <v>21917983.460000001</v>
      </c>
      <c r="F1866" s="2">
        <v>93953811.010000005</v>
      </c>
      <c r="G1866" s="2">
        <v>371461.52</v>
      </c>
    </row>
    <row r="1867" spans="1:7" x14ac:dyDescent="0.25">
      <c r="A1867" s="1">
        <v>45139</v>
      </c>
      <c r="B1867" t="s">
        <v>45</v>
      </c>
      <c r="C1867" t="s">
        <v>204</v>
      </c>
      <c r="D1867" s="2">
        <v>16289499522.16</v>
      </c>
      <c r="E1867" s="2">
        <v>70328305701.169998</v>
      </c>
      <c r="F1867" s="2">
        <v>67125229741.68</v>
      </c>
      <c r="G1867" s="2">
        <v>90992946.909999996</v>
      </c>
    </row>
    <row r="1868" spans="1:7" x14ac:dyDescent="0.25">
      <c r="A1868" s="1">
        <v>45139</v>
      </c>
      <c r="B1868" t="s">
        <v>75</v>
      </c>
      <c r="C1868" t="s">
        <v>205</v>
      </c>
      <c r="D1868" s="2">
        <v>190274511.49000001</v>
      </c>
      <c r="E1868" s="2">
        <v>80744133.439999998</v>
      </c>
      <c r="F1868" s="2">
        <v>4400673097.6700001</v>
      </c>
      <c r="G1868" s="2">
        <v>7264045.9400000004</v>
      </c>
    </row>
    <row r="1869" spans="1:7" x14ac:dyDescent="0.25">
      <c r="A1869" s="1">
        <v>45139</v>
      </c>
      <c r="B1869" t="s">
        <v>206</v>
      </c>
      <c r="C1869" t="s">
        <v>207</v>
      </c>
      <c r="D1869" s="2">
        <v>2576937.88</v>
      </c>
      <c r="E1869" s="2">
        <v>233595.72</v>
      </c>
      <c r="F1869" s="2">
        <v>193359.46</v>
      </c>
      <c r="G1869">
        <v>0</v>
      </c>
    </row>
    <row r="1870" spans="1:7" x14ac:dyDescent="0.25">
      <c r="A1870" s="1">
        <v>45139</v>
      </c>
      <c r="B1870" t="s">
        <v>50</v>
      </c>
      <c r="C1870" t="s">
        <v>208</v>
      </c>
      <c r="D1870" s="2">
        <v>965007918.51999998</v>
      </c>
      <c r="E1870" s="2">
        <v>47731411.270000003</v>
      </c>
      <c r="F1870" s="2">
        <v>79556174.700000003</v>
      </c>
      <c r="G1870" s="2">
        <v>222306475.81999999</v>
      </c>
    </row>
    <row r="1871" spans="1:7" x14ac:dyDescent="0.25">
      <c r="A1871" s="1">
        <v>45139</v>
      </c>
      <c r="B1871" t="s">
        <v>31</v>
      </c>
      <c r="C1871" t="s">
        <v>209</v>
      </c>
      <c r="D1871" s="2">
        <v>15519228.869999999</v>
      </c>
      <c r="E1871" s="2">
        <v>10986416.449999999</v>
      </c>
      <c r="F1871" s="2">
        <v>78011441.790000007</v>
      </c>
      <c r="G1871" s="2">
        <v>105731378.72</v>
      </c>
    </row>
    <row r="1872" spans="1:7" x14ac:dyDescent="0.25">
      <c r="A1872" s="1">
        <v>45139</v>
      </c>
      <c r="B1872" t="s">
        <v>210</v>
      </c>
      <c r="C1872" t="s">
        <v>211</v>
      </c>
      <c r="D1872" s="2">
        <v>1239548.1200000001</v>
      </c>
      <c r="E1872" s="2">
        <v>745922.97</v>
      </c>
      <c r="F1872" s="2">
        <v>3753826.89</v>
      </c>
      <c r="G1872" s="2">
        <v>573000</v>
      </c>
    </row>
    <row r="1873" spans="1:7" x14ac:dyDescent="0.25">
      <c r="A1873" s="1">
        <v>45139</v>
      </c>
      <c r="B1873" t="s">
        <v>125</v>
      </c>
      <c r="C1873" t="s">
        <v>212</v>
      </c>
      <c r="D1873" s="2">
        <v>-30000</v>
      </c>
      <c r="E1873" s="2">
        <v>27769.040000000001</v>
      </c>
      <c r="F1873" s="2">
        <v>64706.17</v>
      </c>
      <c r="G1873">
        <v>0</v>
      </c>
    </row>
    <row r="1874" spans="1:7" x14ac:dyDescent="0.25">
      <c r="A1874" s="1">
        <v>45139</v>
      </c>
      <c r="B1874" t="s">
        <v>16</v>
      </c>
      <c r="C1874" t="s">
        <v>213</v>
      </c>
      <c r="D1874" s="2">
        <v>7458114404.8800001</v>
      </c>
      <c r="E1874" s="2">
        <v>16872435461.52</v>
      </c>
      <c r="F1874" s="2">
        <v>19168679219.790001</v>
      </c>
      <c r="G1874" s="2">
        <v>180971759.46000001</v>
      </c>
    </row>
    <row r="1875" spans="1:7" x14ac:dyDescent="0.25">
      <c r="A1875" s="1">
        <v>45139</v>
      </c>
      <c r="B1875" t="s">
        <v>48</v>
      </c>
      <c r="C1875" t="s">
        <v>214</v>
      </c>
      <c r="D1875" s="2">
        <v>395885668.85000002</v>
      </c>
      <c r="E1875" s="2">
        <v>20111119.710000001</v>
      </c>
      <c r="F1875" s="2">
        <v>30276444.079999998</v>
      </c>
      <c r="G1875" s="2">
        <v>437672291.74000001</v>
      </c>
    </row>
    <row r="1876" spans="1:7" x14ac:dyDescent="0.25">
      <c r="A1876" s="1">
        <v>45139</v>
      </c>
      <c r="B1876" t="s">
        <v>27</v>
      </c>
      <c r="C1876" t="s">
        <v>215</v>
      </c>
      <c r="D1876" s="2">
        <v>30593970.239999998</v>
      </c>
      <c r="E1876" s="2">
        <v>14855603.57</v>
      </c>
      <c r="F1876" s="2">
        <v>21155333.5</v>
      </c>
      <c r="G1876" s="2">
        <v>901986.5</v>
      </c>
    </row>
    <row r="1877" spans="1:7" x14ac:dyDescent="0.25">
      <c r="A1877" s="1">
        <v>45139</v>
      </c>
      <c r="B1877" t="s">
        <v>216</v>
      </c>
      <c r="C1877" t="s">
        <v>217</v>
      </c>
      <c r="D1877" s="2">
        <v>1701683</v>
      </c>
      <c r="E1877" s="2">
        <v>125862</v>
      </c>
      <c r="F1877" s="2">
        <v>111967.61</v>
      </c>
      <c r="G1877" s="2">
        <v>2020000</v>
      </c>
    </row>
    <row r="1878" spans="1:7" x14ac:dyDescent="0.25">
      <c r="A1878" s="1">
        <v>45139</v>
      </c>
      <c r="B1878" t="s">
        <v>69</v>
      </c>
      <c r="C1878" t="s">
        <v>218</v>
      </c>
      <c r="D1878" s="2">
        <v>82523503.650000006</v>
      </c>
      <c r="E1878" s="2">
        <v>122496636.98999999</v>
      </c>
      <c r="F1878" s="2">
        <v>215632885.87</v>
      </c>
      <c r="G1878" s="2">
        <v>913743.25</v>
      </c>
    </row>
    <row r="1879" spans="1:7" x14ac:dyDescent="0.25">
      <c r="A1879" s="1">
        <v>45139</v>
      </c>
      <c r="B1879" t="s">
        <v>13</v>
      </c>
      <c r="C1879" t="s">
        <v>219</v>
      </c>
      <c r="D1879" s="2">
        <v>4744157.33</v>
      </c>
      <c r="E1879" s="2">
        <v>4245278.66</v>
      </c>
      <c r="F1879" s="2">
        <v>35782931.950000003</v>
      </c>
      <c r="G1879" s="2">
        <v>86028.71</v>
      </c>
    </row>
    <row r="1880" spans="1:7" x14ac:dyDescent="0.25">
      <c r="A1880" s="1">
        <v>45139</v>
      </c>
      <c r="B1880" t="s">
        <v>53</v>
      </c>
      <c r="C1880" t="s">
        <v>220</v>
      </c>
      <c r="D1880" s="2">
        <v>11113532.310000001</v>
      </c>
      <c r="E1880" s="2">
        <v>2390862.4300000002</v>
      </c>
      <c r="F1880" s="2">
        <v>6988936.4500000002</v>
      </c>
      <c r="G1880" s="2">
        <v>2524135.0099999998</v>
      </c>
    </row>
    <row r="1881" spans="1:7" x14ac:dyDescent="0.25">
      <c r="A1881" s="1">
        <v>45139</v>
      </c>
      <c r="B1881" t="s">
        <v>130</v>
      </c>
      <c r="C1881" t="s">
        <v>221</v>
      </c>
      <c r="D1881" s="2">
        <v>797418362.82000005</v>
      </c>
      <c r="E1881" s="2">
        <v>14151536404.42</v>
      </c>
      <c r="F1881" s="2">
        <v>14165573199.42</v>
      </c>
      <c r="G1881" s="2">
        <v>26471657.27</v>
      </c>
    </row>
    <row r="1882" spans="1:7" x14ac:dyDescent="0.25">
      <c r="A1882" s="1">
        <v>45139</v>
      </c>
      <c r="B1882" t="s">
        <v>192</v>
      </c>
      <c r="C1882" t="s">
        <v>222</v>
      </c>
      <c r="D1882" s="2">
        <v>6722345.1799999997</v>
      </c>
      <c r="E1882" s="2">
        <v>7411677.5199999996</v>
      </c>
      <c r="F1882" s="2">
        <v>22994976.149999999</v>
      </c>
      <c r="G1882">
        <v>0</v>
      </c>
    </row>
    <row r="1883" spans="1:7" x14ac:dyDescent="0.25">
      <c r="A1883" s="1">
        <v>45139</v>
      </c>
      <c r="B1883" t="s">
        <v>223</v>
      </c>
      <c r="C1883" t="s">
        <v>224</v>
      </c>
      <c r="D1883" s="2">
        <v>30084593.600000001</v>
      </c>
      <c r="E1883" s="2">
        <v>25862618.140000001</v>
      </c>
      <c r="F1883" s="2">
        <v>23510605.510000002</v>
      </c>
      <c r="G1883" s="2">
        <v>10807268.18</v>
      </c>
    </row>
    <row r="1884" spans="1:7" x14ac:dyDescent="0.25">
      <c r="A1884" s="1">
        <v>45139</v>
      </c>
      <c r="B1884" t="s">
        <v>22</v>
      </c>
      <c r="C1884" t="s">
        <v>225</v>
      </c>
      <c r="D1884" s="2">
        <v>6812709.5899999999</v>
      </c>
      <c r="E1884" s="2">
        <v>4859574.24</v>
      </c>
      <c r="F1884" s="2">
        <v>24375494.23</v>
      </c>
      <c r="G1884" s="2">
        <v>3240842.4</v>
      </c>
    </row>
    <row r="1885" spans="1:7" x14ac:dyDescent="0.25">
      <c r="A1885" s="1">
        <v>45139</v>
      </c>
      <c r="B1885" t="s">
        <v>77</v>
      </c>
      <c r="C1885" t="s">
        <v>226</v>
      </c>
      <c r="D1885" s="2">
        <v>363205032</v>
      </c>
      <c r="E1885" s="2">
        <v>1546682.69</v>
      </c>
      <c r="F1885" s="2">
        <v>1546682.69</v>
      </c>
      <c r="G1885" s="2">
        <v>11374767.57</v>
      </c>
    </row>
    <row r="1886" spans="1:7" x14ac:dyDescent="0.25">
      <c r="A1886" s="1">
        <v>45139</v>
      </c>
      <c r="B1886" t="s">
        <v>80</v>
      </c>
      <c r="C1886" t="s">
        <v>227</v>
      </c>
      <c r="D1886" s="2">
        <v>32651914.629999999</v>
      </c>
      <c r="E1886" s="2">
        <v>85649843.109999999</v>
      </c>
      <c r="F1886" s="2">
        <v>318412899.07999998</v>
      </c>
      <c r="G1886" s="2">
        <v>3089831.75</v>
      </c>
    </row>
    <row r="1887" spans="1:7" x14ac:dyDescent="0.25">
      <c r="A1887" s="1">
        <v>45139</v>
      </c>
      <c r="B1887" t="s">
        <v>127</v>
      </c>
      <c r="C1887" t="s">
        <v>228</v>
      </c>
      <c r="D1887" s="2">
        <v>361363.39</v>
      </c>
      <c r="E1887" s="2">
        <v>541706.59</v>
      </c>
      <c r="F1887" s="2">
        <v>8775997.8300000001</v>
      </c>
      <c r="G1887" s="2">
        <v>7812414.6500000004</v>
      </c>
    </row>
    <row r="1888" spans="1:7" x14ac:dyDescent="0.25">
      <c r="A1888" s="1">
        <v>45139</v>
      </c>
      <c r="B1888" t="s">
        <v>140</v>
      </c>
      <c r="C1888" t="s">
        <v>229</v>
      </c>
      <c r="D1888" s="2">
        <v>23713839.640000001</v>
      </c>
      <c r="E1888" s="2">
        <v>15402246.949999999</v>
      </c>
      <c r="F1888" s="2">
        <v>25501966.170000002</v>
      </c>
      <c r="G1888" s="2">
        <v>14886867.859999999</v>
      </c>
    </row>
    <row r="1889" spans="1:7" x14ac:dyDescent="0.25">
      <c r="A1889" s="1">
        <v>45139</v>
      </c>
      <c r="B1889" t="s">
        <v>19</v>
      </c>
      <c r="C1889" t="s">
        <v>230</v>
      </c>
      <c r="D1889" s="2">
        <v>12188067.17</v>
      </c>
      <c r="E1889" s="2">
        <v>16305244.4</v>
      </c>
      <c r="F1889" s="2">
        <v>28934259.48</v>
      </c>
      <c r="G1889" s="2">
        <v>278367.11</v>
      </c>
    </row>
    <row r="1890" spans="1:7" x14ac:dyDescent="0.25">
      <c r="A1890" s="1">
        <v>45139</v>
      </c>
      <c r="B1890" t="s">
        <v>13</v>
      </c>
      <c r="C1890" t="s">
        <v>231</v>
      </c>
      <c r="D1890" s="2">
        <v>3352714.75</v>
      </c>
      <c r="E1890" s="2">
        <v>28533279.460000001</v>
      </c>
      <c r="F1890" s="2">
        <v>48538148.460000001</v>
      </c>
      <c r="G1890">
        <v>0</v>
      </c>
    </row>
    <row r="1891" spans="1:7" x14ac:dyDescent="0.25">
      <c r="A1891" s="1">
        <v>45139</v>
      </c>
      <c r="B1891" t="s">
        <v>31</v>
      </c>
      <c r="C1891" t="s">
        <v>232</v>
      </c>
      <c r="D1891" s="2">
        <v>609785501.20000005</v>
      </c>
      <c r="E1891" s="2">
        <v>88722216.180000007</v>
      </c>
      <c r="F1891" s="2">
        <v>883236081.97000003</v>
      </c>
      <c r="G1891" s="2">
        <v>28506463.649999999</v>
      </c>
    </row>
    <row r="1892" spans="1:7" x14ac:dyDescent="0.25">
      <c r="A1892" s="1">
        <v>45139</v>
      </c>
      <c r="B1892" t="s">
        <v>31</v>
      </c>
      <c r="C1892" t="s">
        <v>233</v>
      </c>
      <c r="D1892" s="2">
        <v>354210489.19</v>
      </c>
      <c r="E1892" s="2">
        <v>59434200.759999998</v>
      </c>
      <c r="F1892" s="2">
        <v>627503227.63999999</v>
      </c>
      <c r="G1892" s="2">
        <v>11977630.779999999</v>
      </c>
    </row>
    <row r="1893" spans="1:7" x14ac:dyDescent="0.25">
      <c r="A1893" s="1">
        <v>45139</v>
      </c>
      <c r="B1893" t="s">
        <v>61</v>
      </c>
      <c r="C1893" t="s">
        <v>234</v>
      </c>
      <c r="D1893" s="2">
        <v>134385759.90000001</v>
      </c>
      <c r="E1893" s="2">
        <v>65274347.700000003</v>
      </c>
      <c r="F1893" s="2">
        <v>175742881.53999999</v>
      </c>
      <c r="G1893" s="2">
        <v>17882782.059999999</v>
      </c>
    </row>
    <row r="1894" spans="1:7" x14ac:dyDescent="0.25">
      <c r="A1894" s="1">
        <v>45139</v>
      </c>
      <c r="B1894" t="s">
        <v>22</v>
      </c>
      <c r="C1894" t="s">
        <v>235</v>
      </c>
      <c r="D1894" s="2">
        <v>1133184.19</v>
      </c>
      <c r="E1894" s="2">
        <v>356207.95</v>
      </c>
      <c r="F1894" s="2">
        <v>382126.02</v>
      </c>
      <c r="G1894" s="2">
        <v>909877.69</v>
      </c>
    </row>
    <row r="1895" spans="1:7" x14ac:dyDescent="0.25">
      <c r="A1895" s="1">
        <v>45139</v>
      </c>
      <c r="B1895" t="s">
        <v>192</v>
      </c>
      <c r="C1895" t="s">
        <v>236</v>
      </c>
      <c r="D1895" s="2">
        <v>1096356.3500000001</v>
      </c>
      <c r="E1895" s="2">
        <v>3383590.18</v>
      </c>
      <c r="F1895" s="2">
        <v>16075429.9</v>
      </c>
      <c r="G1895" s="2">
        <v>2347.35</v>
      </c>
    </row>
    <row r="1896" spans="1:7" x14ac:dyDescent="0.25">
      <c r="A1896" s="1">
        <v>45139</v>
      </c>
      <c r="B1896" t="s">
        <v>50</v>
      </c>
      <c r="C1896" t="s">
        <v>237</v>
      </c>
      <c r="D1896" s="2">
        <v>132772.38</v>
      </c>
      <c r="E1896" s="2">
        <v>766467.72</v>
      </c>
      <c r="F1896" s="2">
        <v>2105234.34</v>
      </c>
      <c r="G1896" s="2">
        <v>5844002.3399999999</v>
      </c>
    </row>
    <row r="1897" spans="1:7" x14ac:dyDescent="0.25">
      <c r="A1897" s="1">
        <v>45139</v>
      </c>
      <c r="B1897" t="s">
        <v>45</v>
      </c>
      <c r="C1897" t="s">
        <v>238</v>
      </c>
      <c r="D1897" s="2">
        <v>1085283.26</v>
      </c>
      <c r="E1897" s="2">
        <v>1265990.49</v>
      </c>
      <c r="F1897" s="2">
        <v>29030563.02</v>
      </c>
      <c r="G1897" s="2">
        <v>2155.4</v>
      </c>
    </row>
    <row r="1898" spans="1:7" x14ac:dyDescent="0.25">
      <c r="A1898" s="1">
        <v>45139</v>
      </c>
      <c r="B1898" t="s">
        <v>50</v>
      </c>
      <c r="C1898" t="s">
        <v>239</v>
      </c>
      <c r="D1898" s="2">
        <v>2186561.71</v>
      </c>
      <c r="E1898" s="2">
        <v>665884.71</v>
      </c>
      <c r="F1898" s="2">
        <v>4642601.82</v>
      </c>
      <c r="G1898" s="2">
        <v>128646.07</v>
      </c>
    </row>
    <row r="1899" spans="1:7" x14ac:dyDescent="0.25">
      <c r="A1899" s="1">
        <v>45139</v>
      </c>
      <c r="B1899" t="s">
        <v>50</v>
      </c>
      <c r="C1899" t="s">
        <v>240</v>
      </c>
      <c r="D1899" s="2">
        <v>698542.49</v>
      </c>
      <c r="E1899" s="2">
        <v>603927.37</v>
      </c>
      <c r="F1899" s="2">
        <v>5656715.5700000003</v>
      </c>
      <c r="G1899" s="2">
        <v>2120776</v>
      </c>
    </row>
    <row r="1900" spans="1:7" x14ac:dyDescent="0.25">
      <c r="A1900" s="1">
        <v>45139</v>
      </c>
      <c r="B1900" t="s">
        <v>125</v>
      </c>
      <c r="C1900" t="s">
        <v>241</v>
      </c>
      <c r="D1900" s="2">
        <v>407196</v>
      </c>
      <c r="E1900" s="2">
        <v>274742.76</v>
      </c>
      <c r="F1900" s="2">
        <v>3690886.76</v>
      </c>
      <c r="G1900">
        <v>0</v>
      </c>
    </row>
    <row r="1901" spans="1:7" x14ac:dyDescent="0.25">
      <c r="A1901" s="1">
        <v>45139</v>
      </c>
      <c r="B1901" t="s">
        <v>27</v>
      </c>
      <c r="C1901" t="s">
        <v>242</v>
      </c>
      <c r="D1901" s="2">
        <v>3535814.66</v>
      </c>
      <c r="E1901" s="2">
        <v>33089388.510000002</v>
      </c>
      <c r="F1901" s="2">
        <v>43032797.390000001</v>
      </c>
      <c r="G1901" s="2">
        <v>444653.56</v>
      </c>
    </row>
    <row r="1902" spans="1:7" x14ac:dyDescent="0.25">
      <c r="A1902" s="1">
        <v>45139</v>
      </c>
      <c r="B1902" t="s">
        <v>37</v>
      </c>
      <c r="C1902" t="s">
        <v>243</v>
      </c>
      <c r="D1902" s="2">
        <v>5230524.7300000004</v>
      </c>
      <c r="E1902" s="2">
        <v>2003463.79</v>
      </c>
      <c r="F1902" s="2">
        <v>18986148.129999999</v>
      </c>
      <c r="G1902" s="2">
        <v>54525.79</v>
      </c>
    </row>
    <row r="1903" spans="1:7" x14ac:dyDescent="0.25">
      <c r="A1903" s="1">
        <v>45139</v>
      </c>
      <c r="B1903" t="s">
        <v>37</v>
      </c>
      <c r="C1903" t="s">
        <v>244</v>
      </c>
      <c r="D1903" s="2">
        <v>30710119.52</v>
      </c>
      <c r="E1903" s="2">
        <v>24600123.559999999</v>
      </c>
      <c r="F1903" s="2">
        <v>243521049.59999999</v>
      </c>
      <c r="G1903" s="2">
        <v>368156.8</v>
      </c>
    </row>
    <row r="1904" spans="1:7" x14ac:dyDescent="0.25">
      <c r="A1904" s="1">
        <v>45139</v>
      </c>
      <c r="B1904" t="s">
        <v>37</v>
      </c>
      <c r="C1904" t="s">
        <v>245</v>
      </c>
      <c r="D1904" s="2">
        <v>2008248.88</v>
      </c>
      <c r="E1904" s="2">
        <v>3974560.37</v>
      </c>
      <c r="F1904" s="2">
        <v>37694883.950000003</v>
      </c>
      <c r="G1904" s="2">
        <v>1120739.77</v>
      </c>
    </row>
    <row r="1905" spans="1:7" x14ac:dyDescent="0.25">
      <c r="A1905" s="1">
        <v>45139</v>
      </c>
      <c r="B1905" t="s">
        <v>37</v>
      </c>
      <c r="C1905" t="s">
        <v>246</v>
      </c>
      <c r="D1905" s="2">
        <v>2402401.13</v>
      </c>
      <c r="E1905" s="2">
        <v>1066757.97</v>
      </c>
      <c r="F1905" s="2">
        <v>20944747.859999999</v>
      </c>
      <c r="G1905" s="2">
        <v>79528.69</v>
      </c>
    </row>
    <row r="1906" spans="1:7" x14ac:dyDescent="0.25">
      <c r="A1906" s="1">
        <v>45139</v>
      </c>
      <c r="B1906" t="s">
        <v>37</v>
      </c>
      <c r="C1906" t="s">
        <v>247</v>
      </c>
      <c r="D1906" s="2">
        <v>6855463.5499999998</v>
      </c>
      <c r="E1906" s="2">
        <v>5131327.63</v>
      </c>
      <c r="F1906" s="2">
        <v>245641164.55000001</v>
      </c>
      <c r="G1906" s="2">
        <v>1168912.48</v>
      </c>
    </row>
    <row r="1907" spans="1:7" x14ac:dyDescent="0.25">
      <c r="A1907" s="1">
        <v>45139</v>
      </c>
      <c r="B1907" t="s">
        <v>37</v>
      </c>
      <c r="C1907" t="s">
        <v>248</v>
      </c>
      <c r="D1907" s="2">
        <v>13157597.58</v>
      </c>
      <c r="E1907" s="2">
        <v>8034484.0199999996</v>
      </c>
      <c r="F1907" s="2">
        <v>123112427.58</v>
      </c>
      <c r="G1907" s="2">
        <v>721886.33</v>
      </c>
    </row>
    <row r="1908" spans="1:7" x14ac:dyDescent="0.25">
      <c r="A1908" s="1">
        <v>45139</v>
      </c>
      <c r="B1908" t="s">
        <v>37</v>
      </c>
      <c r="C1908" t="s">
        <v>249</v>
      </c>
      <c r="D1908" s="2">
        <v>1615235.66</v>
      </c>
      <c r="E1908" s="2">
        <v>2421636.4</v>
      </c>
      <c r="F1908" s="2">
        <v>33372108.140000001</v>
      </c>
      <c r="G1908" s="2">
        <v>551216.82999999996</v>
      </c>
    </row>
    <row r="1909" spans="1:7" x14ac:dyDescent="0.25">
      <c r="A1909" s="1">
        <v>45139</v>
      </c>
      <c r="B1909" t="s">
        <v>37</v>
      </c>
      <c r="C1909" t="s">
        <v>250</v>
      </c>
      <c r="D1909" s="2">
        <v>3184667.1</v>
      </c>
      <c r="E1909" s="2">
        <v>11044928.68</v>
      </c>
      <c r="F1909" s="2">
        <v>100333929.36</v>
      </c>
      <c r="G1909" s="2">
        <v>825559.77</v>
      </c>
    </row>
    <row r="1910" spans="1:7" x14ac:dyDescent="0.25">
      <c r="A1910" s="1">
        <v>45139</v>
      </c>
      <c r="B1910" t="s">
        <v>37</v>
      </c>
      <c r="C1910" t="s">
        <v>251</v>
      </c>
      <c r="D1910" s="2">
        <v>941057.97</v>
      </c>
      <c r="E1910" s="2">
        <v>929349.29</v>
      </c>
      <c r="F1910" s="2">
        <v>11920890.689999999</v>
      </c>
      <c r="G1910" s="2">
        <v>16653.03</v>
      </c>
    </row>
    <row r="1911" spans="1:7" x14ac:dyDescent="0.25">
      <c r="A1911" s="1">
        <v>45139</v>
      </c>
      <c r="B1911" t="s">
        <v>37</v>
      </c>
      <c r="C1911" t="s">
        <v>252</v>
      </c>
      <c r="D1911" s="2">
        <v>12865751.85</v>
      </c>
      <c r="E1911" s="2">
        <v>13073112.380000001</v>
      </c>
      <c r="F1911" s="2">
        <v>171132688.19</v>
      </c>
      <c r="G1911" s="2">
        <v>212851.64</v>
      </c>
    </row>
    <row r="1912" spans="1:7" x14ac:dyDescent="0.25">
      <c r="A1912" s="1">
        <v>45139</v>
      </c>
      <c r="B1912" t="s">
        <v>37</v>
      </c>
      <c r="C1912" t="s">
        <v>253</v>
      </c>
      <c r="D1912" s="2">
        <v>2751192.66</v>
      </c>
      <c r="E1912" s="2">
        <v>2141250.67</v>
      </c>
      <c r="F1912" s="2">
        <v>31233760.170000002</v>
      </c>
      <c r="G1912" s="2">
        <v>838118.74</v>
      </c>
    </row>
    <row r="1913" spans="1:7" x14ac:dyDescent="0.25">
      <c r="A1913" s="1">
        <v>45139</v>
      </c>
      <c r="B1913" t="s">
        <v>37</v>
      </c>
      <c r="C1913" t="s">
        <v>254</v>
      </c>
      <c r="D1913" s="2">
        <v>1132545.8</v>
      </c>
      <c r="E1913" s="2">
        <v>2218846.12</v>
      </c>
      <c r="F1913" s="2">
        <v>15045012.640000001</v>
      </c>
      <c r="G1913" s="2">
        <v>196342.68</v>
      </c>
    </row>
    <row r="1914" spans="1:7" x14ac:dyDescent="0.25">
      <c r="A1914" s="1">
        <v>45139</v>
      </c>
      <c r="B1914" t="s">
        <v>37</v>
      </c>
      <c r="C1914" t="s">
        <v>255</v>
      </c>
      <c r="D1914" s="2">
        <v>6114503.0999999996</v>
      </c>
      <c r="E1914" s="2">
        <v>27110020.48</v>
      </c>
      <c r="F1914" s="2">
        <v>140689423.25</v>
      </c>
      <c r="G1914" s="2">
        <v>493556.88</v>
      </c>
    </row>
    <row r="1915" spans="1:7" x14ac:dyDescent="0.25">
      <c r="A1915" s="1">
        <v>45139</v>
      </c>
      <c r="B1915" t="s">
        <v>37</v>
      </c>
      <c r="C1915" t="s">
        <v>256</v>
      </c>
      <c r="D1915" s="2">
        <v>1431895.97</v>
      </c>
      <c r="E1915" s="2">
        <v>4898406.0999999996</v>
      </c>
      <c r="F1915" s="2">
        <v>53377942.359999999</v>
      </c>
      <c r="G1915" s="2">
        <v>190893.59</v>
      </c>
    </row>
    <row r="1916" spans="1:7" x14ac:dyDescent="0.25">
      <c r="A1916" s="1">
        <v>45139</v>
      </c>
      <c r="B1916" t="s">
        <v>37</v>
      </c>
      <c r="C1916" t="s">
        <v>257</v>
      </c>
      <c r="D1916" s="2">
        <v>145451489.65000001</v>
      </c>
      <c r="E1916" s="2">
        <v>17139088.190000001</v>
      </c>
      <c r="F1916" s="2">
        <v>322767946.97000003</v>
      </c>
      <c r="G1916" s="2">
        <v>3667493.66</v>
      </c>
    </row>
    <row r="1917" spans="1:7" x14ac:dyDescent="0.25">
      <c r="A1917" s="1">
        <v>45139</v>
      </c>
      <c r="B1917" t="s">
        <v>37</v>
      </c>
      <c r="C1917" t="s">
        <v>258</v>
      </c>
      <c r="D1917" s="2">
        <v>5213135.08</v>
      </c>
      <c r="E1917" s="2">
        <v>3376537.13</v>
      </c>
      <c r="F1917" s="2">
        <v>61506756.789999999</v>
      </c>
      <c r="G1917" s="2">
        <v>444566.19</v>
      </c>
    </row>
    <row r="1918" spans="1:7" x14ac:dyDescent="0.25">
      <c r="A1918" s="1">
        <v>45139</v>
      </c>
      <c r="B1918" t="s">
        <v>37</v>
      </c>
      <c r="C1918" t="s">
        <v>259</v>
      </c>
      <c r="D1918" s="2">
        <v>4595423.9400000004</v>
      </c>
      <c r="E1918" s="2">
        <v>17367705.899999999</v>
      </c>
      <c r="F1918" s="2">
        <v>233131940.13</v>
      </c>
      <c r="G1918" s="2">
        <v>2717316.36</v>
      </c>
    </row>
    <row r="1919" spans="1:7" x14ac:dyDescent="0.25">
      <c r="A1919" s="1">
        <v>45139</v>
      </c>
      <c r="B1919" t="s">
        <v>37</v>
      </c>
      <c r="C1919" t="s">
        <v>260</v>
      </c>
      <c r="D1919" s="2">
        <v>7581387.1699999999</v>
      </c>
      <c r="E1919" s="2">
        <v>2327450.84</v>
      </c>
      <c r="F1919" s="2">
        <v>12868101.73</v>
      </c>
      <c r="G1919" s="2">
        <v>181295.33</v>
      </c>
    </row>
    <row r="1920" spans="1:7" x14ac:dyDescent="0.25">
      <c r="A1920" s="1">
        <v>45139</v>
      </c>
      <c r="B1920" t="s">
        <v>37</v>
      </c>
      <c r="C1920" t="s">
        <v>261</v>
      </c>
      <c r="D1920" s="2">
        <v>5796749.5099999998</v>
      </c>
      <c r="E1920" s="2">
        <v>1942700.98</v>
      </c>
      <c r="F1920" s="2">
        <v>31946966.52</v>
      </c>
      <c r="G1920" s="2">
        <v>1519470.1</v>
      </c>
    </row>
    <row r="1921" spans="1:7" x14ac:dyDescent="0.25">
      <c r="A1921" s="1">
        <v>45139</v>
      </c>
      <c r="B1921" t="s">
        <v>37</v>
      </c>
      <c r="C1921" t="s">
        <v>262</v>
      </c>
      <c r="D1921" s="2">
        <v>7024717.8899999997</v>
      </c>
      <c r="E1921" s="2">
        <v>12574363.5</v>
      </c>
      <c r="F1921" s="2">
        <v>247300403.40000001</v>
      </c>
      <c r="G1921" s="2">
        <v>2835287.1</v>
      </c>
    </row>
    <row r="1922" spans="1:7" x14ac:dyDescent="0.25">
      <c r="A1922" s="1">
        <v>45139</v>
      </c>
      <c r="B1922" t="s">
        <v>37</v>
      </c>
      <c r="C1922" t="s">
        <v>263</v>
      </c>
      <c r="D1922" s="2">
        <v>13443094.82</v>
      </c>
      <c r="E1922" s="2">
        <v>11875373.9</v>
      </c>
      <c r="F1922" s="2">
        <v>188623677.87</v>
      </c>
      <c r="G1922" s="2">
        <v>640521.84</v>
      </c>
    </row>
    <row r="1923" spans="1:7" x14ac:dyDescent="0.25">
      <c r="A1923" s="1">
        <v>45139</v>
      </c>
      <c r="B1923" t="s">
        <v>37</v>
      </c>
      <c r="C1923" t="s">
        <v>264</v>
      </c>
      <c r="D1923" s="2">
        <v>11759063.84</v>
      </c>
      <c r="E1923" s="2">
        <v>6391280.1900000004</v>
      </c>
      <c r="F1923" s="2">
        <v>184113920.33000001</v>
      </c>
      <c r="G1923" s="2">
        <v>3202184.97</v>
      </c>
    </row>
    <row r="1924" spans="1:7" x14ac:dyDescent="0.25">
      <c r="A1924" s="1">
        <v>45139</v>
      </c>
      <c r="B1924" t="s">
        <v>37</v>
      </c>
      <c r="C1924" t="s">
        <v>265</v>
      </c>
      <c r="D1924" s="2">
        <v>16420646.25</v>
      </c>
      <c r="E1924" s="2">
        <v>4797976.0999999996</v>
      </c>
      <c r="F1924" s="2">
        <v>127758264.25</v>
      </c>
      <c r="G1924" s="2">
        <v>5202169.08</v>
      </c>
    </row>
    <row r="1925" spans="1:7" x14ac:dyDescent="0.25">
      <c r="A1925" s="1">
        <v>45139</v>
      </c>
      <c r="B1925" t="s">
        <v>37</v>
      </c>
      <c r="C1925" t="s">
        <v>266</v>
      </c>
      <c r="D1925" s="2">
        <v>1857025.01</v>
      </c>
      <c r="E1925" s="2">
        <v>280078.75</v>
      </c>
      <c r="F1925" s="2">
        <v>6691738.3099999996</v>
      </c>
      <c r="G1925" s="2">
        <v>180659.84</v>
      </c>
    </row>
    <row r="1926" spans="1:7" x14ac:dyDescent="0.25">
      <c r="A1926" s="1">
        <v>45139</v>
      </c>
      <c r="B1926" t="s">
        <v>37</v>
      </c>
      <c r="C1926" t="s">
        <v>267</v>
      </c>
      <c r="D1926" s="2">
        <v>1914802.41</v>
      </c>
      <c r="E1926" s="2">
        <v>1670695.51</v>
      </c>
      <c r="F1926" s="2">
        <v>15441679.189999999</v>
      </c>
      <c r="G1926" s="2">
        <v>120987.83</v>
      </c>
    </row>
    <row r="1927" spans="1:7" x14ac:dyDescent="0.25">
      <c r="A1927" s="1">
        <v>45139</v>
      </c>
      <c r="B1927" t="s">
        <v>37</v>
      </c>
      <c r="C1927" t="s">
        <v>268</v>
      </c>
      <c r="D1927" s="2">
        <v>12048497</v>
      </c>
      <c r="E1927" s="2">
        <v>8550272.2400000002</v>
      </c>
      <c r="F1927" s="2">
        <v>214926420.55000001</v>
      </c>
      <c r="G1927" s="2">
        <v>614101.81000000006</v>
      </c>
    </row>
    <row r="1928" spans="1:7" x14ac:dyDescent="0.25">
      <c r="A1928" s="1">
        <v>45139</v>
      </c>
      <c r="B1928" t="s">
        <v>37</v>
      </c>
      <c r="C1928" t="s">
        <v>269</v>
      </c>
      <c r="D1928" s="2">
        <v>480870.83</v>
      </c>
      <c r="E1928" s="2">
        <v>1348182.65</v>
      </c>
      <c r="F1928" s="2">
        <v>8705654.8300000001</v>
      </c>
      <c r="G1928" s="2">
        <v>22726.03</v>
      </c>
    </row>
    <row r="1929" spans="1:7" x14ac:dyDescent="0.25">
      <c r="A1929" s="1">
        <v>45139</v>
      </c>
      <c r="B1929" t="s">
        <v>37</v>
      </c>
      <c r="C1929" t="s">
        <v>270</v>
      </c>
      <c r="D1929" s="2">
        <v>8364894.6200000001</v>
      </c>
      <c r="E1929" s="2">
        <v>7913377.9100000001</v>
      </c>
      <c r="F1929" s="2">
        <v>147660135.38</v>
      </c>
      <c r="G1929" s="2">
        <v>3674728.99</v>
      </c>
    </row>
    <row r="1930" spans="1:7" x14ac:dyDescent="0.25">
      <c r="A1930" s="1">
        <v>45139</v>
      </c>
      <c r="B1930" t="s">
        <v>37</v>
      </c>
      <c r="C1930" t="s">
        <v>271</v>
      </c>
      <c r="D1930" s="2">
        <v>7624047.9100000001</v>
      </c>
      <c r="E1930" s="2">
        <v>3450761.8</v>
      </c>
      <c r="F1930" s="2">
        <v>69899805.109999999</v>
      </c>
      <c r="G1930" s="2">
        <v>261522.15</v>
      </c>
    </row>
    <row r="1931" spans="1:7" x14ac:dyDescent="0.25">
      <c r="A1931" s="1">
        <v>45139</v>
      </c>
      <c r="B1931" t="s">
        <v>37</v>
      </c>
      <c r="C1931" t="s">
        <v>272</v>
      </c>
      <c r="D1931" s="2">
        <v>22420</v>
      </c>
      <c r="E1931" s="2">
        <v>364700</v>
      </c>
      <c r="F1931" s="2">
        <v>395730</v>
      </c>
      <c r="G1931" s="2">
        <v>22560</v>
      </c>
    </row>
    <row r="1932" spans="1:7" x14ac:dyDescent="0.25">
      <c r="A1932" s="1">
        <v>45139</v>
      </c>
      <c r="B1932" t="s">
        <v>37</v>
      </c>
      <c r="C1932" t="s">
        <v>273</v>
      </c>
      <c r="D1932" s="2">
        <v>4115933.53</v>
      </c>
      <c r="E1932" s="2">
        <v>1496495.08</v>
      </c>
      <c r="F1932" s="2">
        <v>15192574.390000001</v>
      </c>
      <c r="G1932" s="2">
        <v>1004213.82</v>
      </c>
    </row>
    <row r="1933" spans="1:7" x14ac:dyDescent="0.25">
      <c r="A1933" s="1">
        <v>45139</v>
      </c>
      <c r="B1933" t="s">
        <v>37</v>
      </c>
      <c r="C1933" t="s">
        <v>274</v>
      </c>
      <c r="D1933" s="2">
        <v>12839038.039999999</v>
      </c>
      <c r="E1933" s="2">
        <v>2047101.95</v>
      </c>
      <c r="F1933" s="2">
        <v>27216938.48</v>
      </c>
      <c r="G1933" s="2">
        <v>1376667.58</v>
      </c>
    </row>
    <row r="1934" spans="1:7" x14ac:dyDescent="0.25">
      <c r="A1934" s="1">
        <v>45139</v>
      </c>
      <c r="B1934" t="s">
        <v>37</v>
      </c>
      <c r="C1934" t="s">
        <v>275</v>
      </c>
      <c r="D1934" s="2">
        <v>43846172.659999996</v>
      </c>
      <c r="E1934" s="2">
        <v>17251666.789999999</v>
      </c>
      <c r="F1934" s="2">
        <v>239881314.81999999</v>
      </c>
      <c r="G1934" s="2">
        <v>2010520.99</v>
      </c>
    </row>
    <row r="1935" spans="1:7" x14ac:dyDescent="0.25">
      <c r="A1935" s="1">
        <v>45139</v>
      </c>
      <c r="B1935" t="s">
        <v>37</v>
      </c>
      <c r="C1935" t="s">
        <v>276</v>
      </c>
      <c r="D1935" s="2">
        <v>4722767.7300000004</v>
      </c>
      <c r="E1935" s="2">
        <v>-5598631.6299999999</v>
      </c>
      <c r="F1935" s="2">
        <v>205186915.46000001</v>
      </c>
      <c r="G1935" s="2">
        <v>2174387.19</v>
      </c>
    </row>
    <row r="1936" spans="1:7" x14ac:dyDescent="0.25">
      <c r="A1936" s="1">
        <v>45139</v>
      </c>
      <c r="B1936" t="s">
        <v>37</v>
      </c>
      <c r="C1936" t="s">
        <v>277</v>
      </c>
      <c r="D1936" s="2">
        <v>3615907.12</v>
      </c>
      <c r="E1936" s="2">
        <v>3865027.02</v>
      </c>
      <c r="F1936" s="2">
        <v>40849700.909999996</v>
      </c>
      <c r="G1936" s="2">
        <v>554087.67000000004</v>
      </c>
    </row>
    <row r="1937" spans="1:7" x14ac:dyDescent="0.25">
      <c r="A1937" s="1">
        <v>45139</v>
      </c>
      <c r="B1937" t="s">
        <v>37</v>
      </c>
      <c r="C1937" t="s">
        <v>278</v>
      </c>
      <c r="D1937" s="2">
        <v>28566748.09</v>
      </c>
      <c r="E1937" s="2">
        <v>39672565.380000003</v>
      </c>
      <c r="F1937" s="2">
        <v>519331816.14999998</v>
      </c>
      <c r="G1937" s="2">
        <v>617371.31999999995</v>
      </c>
    </row>
    <row r="1938" spans="1:7" x14ac:dyDescent="0.25">
      <c r="A1938" s="1">
        <v>45139</v>
      </c>
      <c r="B1938" t="s">
        <v>37</v>
      </c>
      <c r="C1938" t="s">
        <v>279</v>
      </c>
      <c r="D1938" s="2">
        <v>1718460.55</v>
      </c>
      <c r="E1938" s="2">
        <v>5713678.75</v>
      </c>
      <c r="F1938" s="2">
        <v>78791342.780000001</v>
      </c>
      <c r="G1938" s="2">
        <v>432650.75</v>
      </c>
    </row>
    <row r="1939" spans="1:7" x14ac:dyDescent="0.25">
      <c r="A1939" s="1">
        <v>45139</v>
      </c>
      <c r="B1939" t="s">
        <v>37</v>
      </c>
      <c r="C1939" t="s">
        <v>280</v>
      </c>
      <c r="D1939" s="2">
        <v>11369857.539999999</v>
      </c>
      <c r="E1939" s="2">
        <v>24247429.210000001</v>
      </c>
      <c r="F1939" s="2">
        <v>279851647.26999998</v>
      </c>
      <c r="G1939" s="2">
        <v>1277692.74</v>
      </c>
    </row>
    <row r="1940" spans="1:7" x14ac:dyDescent="0.25">
      <c r="A1940" s="1">
        <v>45139</v>
      </c>
      <c r="B1940" t="s">
        <v>37</v>
      </c>
      <c r="C1940" t="s">
        <v>281</v>
      </c>
      <c r="D1940" s="2">
        <v>18179874.170000002</v>
      </c>
      <c r="E1940" s="2">
        <v>16151497.960000001</v>
      </c>
      <c r="F1940" s="2">
        <v>246406245.91999999</v>
      </c>
      <c r="G1940" s="2">
        <v>909455.25</v>
      </c>
    </row>
    <row r="1941" spans="1:7" x14ac:dyDescent="0.25">
      <c r="A1941" s="1">
        <v>45139</v>
      </c>
      <c r="B1941" t="s">
        <v>37</v>
      </c>
      <c r="C1941" t="s">
        <v>282</v>
      </c>
      <c r="D1941" s="2">
        <v>2513818.7599999998</v>
      </c>
      <c r="E1941" s="2">
        <v>1941644.04</v>
      </c>
      <c r="F1941" s="2">
        <v>13808056.949999999</v>
      </c>
      <c r="G1941" s="2">
        <v>20413.47</v>
      </c>
    </row>
    <row r="1942" spans="1:7" x14ac:dyDescent="0.25">
      <c r="A1942" s="1">
        <v>45139</v>
      </c>
      <c r="B1942" t="s">
        <v>37</v>
      </c>
      <c r="C1942" t="s">
        <v>283</v>
      </c>
      <c r="D1942" s="2">
        <v>382164.37</v>
      </c>
      <c r="E1942" s="2">
        <v>842308.66</v>
      </c>
      <c r="F1942" s="2">
        <v>19028256.449999999</v>
      </c>
      <c r="G1942" s="2">
        <v>927732.66</v>
      </c>
    </row>
    <row r="1943" spans="1:7" x14ac:dyDescent="0.25">
      <c r="A1943" s="1">
        <v>45139</v>
      </c>
      <c r="B1943" t="s">
        <v>37</v>
      </c>
      <c r="C1943" t="s">
        <v>284</v>
      </c>
      <c r="D1943" s="2">
        <v>1281071.73</v>
      </c>
      <c r="E1943" s="2">
        <v>2849055.71</v>
      </c>
      <c r="F1943" s="2">
        <v>67627318.219999999</v>
      </c>
      <c r="G1943" s="2">
        <v>188479.4</v>
      </c>
    </row>
    <row r="1944" spans="1:7" x14ac:dyDescent="0.25">
      <c r="A1944" s="1">
        <v>45139</v>
      </c>
      <c r="B1944" t="s">
        <v>37</v>
      </c>
      <c r="C1944" t="s">
        <v>285</v>
      </c>
      <c r="D1944" s="2">
        <v>5759510.9400000004</v>
      </c>
      <c r="E1944" s="2">
        <v>1487773.46</v>
      </c>
      <c r="F1944" s="2">
        <v>35834545.640000001</v>
      </c>
      <c r="G1944" s="2">
        <v>330981.51</v>
      </c>
    </row>
    <row r="1945" spans="1:7" x14ac:dyDescent="0.25">
      <c r="A1945" s="1">
        <v>45139</v>
      </c>
      <c r="B1945" t="s">
        <v>37</v>
      </c>
      <c r="C1945" t="s">
        <v>286</v>
      </c>
      <c r="D1945" s="2">
        <v>13327881.23</v>
      </c>
      <c r="E1945" s="2">
        <v>13021439.92</v>
      </c>
      <c r="F1945" s="2">
        <v>300214501.69999999</v>
      </c>
      <c r="G1945" s="2">
        <v>5718820.0999999996</v>
      </c>
    </row>
    <row r="1946" spans="1:7" x14ac:dyDescent="0.25">
      <c r="A1946" s="1">
        <v>45139</v>
      </c>
      <c r="B1946" t="s">
        <v>37</v>
      </c>
      <c r="C1946" t="s">
        <v>287</v>
      </c>
      <c r="D1946" s="2">
        <v>6867154.96</v>
      </c>
      <c r="E1946" s="2">
        <v>3572703.11</v>
      </c>
      <c r="F1946" s="2">
        <v>33187224.609999999</v>
      </c>
      <c r="G1946" s="2">
        <v>720925.62</v>
      </c>
    </row>
    <row r="1947" spans="1:7" x14ac:dyDescent="0.25">
      <c r="A1947" s="1">
        <v>45139</v>
      </c>
      <c r="B1947" t="s">
        <v>37</v>
      </c>
      <c r="C1947" t="s">
        <v>288</v>
      </c>
      <c r="D1947" s="2">
        <v>4547480.6100000003</v>
      </c>
      <c r="E1947" s="2">
        <v>5582084.2000000002</v>
      </c>
      <c r="F1947" s="2">
        <v>80809005.849999994</v>
      </c>
      <c r="G1947" s="2">
        <v>688425.81</v>
      </c>
    </row>
    <row r="1948" spans="1:7" x14ac:dyDescent="0.25">
      <c r="A1948" s="1">
        <v>45139</v>
      </c>
      <c r="B1948" t="s">
        <v>37</v>
      </c>
      <c r="C1948" t="s">
        <v>289</v>
      </c>
      <c r="D1948" s="2">
        <v>11356497.220000001</v>
      </c>
      <c r="E1948" s="2">
        <v>12096685.51</v>
      </c>
      <c r="F1948" s="2">
        <v>98802157.859999999</v>
      </c>
      <c r="G1948" s="2">
        <v>2106196.0099999998</v>
      </c>
    </row>
    <row r="1949" spans="1:7" x14ac:dyDescent="0.25">
      <c r="A1949" s="1">
        <v>45139</v>
      </c>
      <c r="B1949" t="s">
        <v>37</v>
      </c>
      <c r="C1949" t="s">
        <v>290</v>
      </c>
      <c r="D1949" s="2">
        <v>2335695.11</v>
      </c>
      <c r="E1949" s="2">
        <v>2476509.2200000002</v>
      </c>
      <c r="F1949" s="2">
        <v>39625060.439999998</v>
      </c>
      <c r="G1949" s="2">
        <v>495948.69</v>
      </c>
    </row>
    <row r="1950" spans="1:7" x14ac:dyDescent="0.25">
      <c r="A1950" s="1">
        <v>45139</v>
      </c>
      <c r="B1950" t="s">
        <v>37</v>
      </c>
      <c r="C1950" t="s">
        <v>291</v>
      </c>
      <c r="D1950" s="2">
        <v>13947576.68</v>
      </c>
      <c r="E1950" s="2">
        <v>5281254.6399999997</v>
      </c>
      <c r="F1950" s="2">
        <v>111567590.66</v>
      </c>
      <c r="G1950" s="2">
        <v>4013943.66</v>
      </c>
    </row>
    <row r="1951" spans="1:7" x14ac:dyDescent="0.25">
      <c r="A1951" s="1">
        <v>45139</v>
      </c>
      <c r="B1951" t="s">
        <v>19</v>
      </c>
      <c r="C1951" t="s">
        <v>292</v>
      </c>
      <c r="D1951" s="2">
        <v>9356938.3399999999</v>
      </c>
      <c r="E1951" s="2">
        <v>8146887.0499999998</v>
      </c>
      <c r="F1951" s="2">
        <v>22102055.879999999</v>
      </c>
      <c r="G1951" s="2">
        <v>3292425.76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D6DA7-FF16-44D3-9DF6-0590E1B59912}">
  <sheetPr codeName="Planilha2"/>
  <dimension ref="A3:K355"/>
  <sheetViews>
    <sheetView workbookViewId="0">
      <selection activeCell="A352" sqref="A352"/>
    </sheetView>
  </sheetViews>
  <sheetFormatPr defaultRowHeight="15" x14ac:dyDescent="0.25"/>
  <cols>
    <col min="1" max="1" width="18" bestFit="1" customWidth="1"/>
    <col min="2" max="2" width="21.85546875" style="6" bestFit="1" customWidth="1"/>
    <col min="3" max="3" width="23.28515625" style="6" bestFit="1" customWidth="1"/>
    <col min="4" max="4" width="18.7109375" style="6" bestFit="1" customWidth="1"/>
    <col min="10" max="10" width="18" bestFit="1" customWidth="1"/>
    <col min="11" max="11" width="27" style="5" bestFit="1" customWidth="1"/>
    <col min="12" max="20" width="8" bestFit="1" customWidth="1"/>
    <col min="21" max="40" width="9" bestFit="1" customWidth="1"/>
    <col min="41" max="41" width="8" bestFit="1" customWidth="1"/>
    <col min="42" max="48" width="9" bestFit="1" customWidth="1"/>
    <col min="49" max="62" width="10" bestFit="1" customWidth="1"/>
    <col min="63" max="63" width="9" bestFit="1" customWidth="1"/>
    <col min="64" max="67" width="10" bestFit="1" customWidth="1"/>
    <col min="68" max="69" width="9" bestFit="1" customWidth="1"/>
    <col min="70" max="88" width="10" bestFit="1" customWidth="1"/>
    <col min="89" max="89" width="9" bestFit="1" customWidth="1"/>
    <col min="90" max="97" width="10" bestFit="1" customWidth="1"/>
    <col min="98" max="98" width="7" bestFit="1" customWidth="1"/>
    <col min="99" max="99" width="10" bestFit="1" customWidth="1"/>
    <col min="100" max="100" width="7" bestFit="1" customWidth="1"/>
    <col min="101" max="137" width="10" bestFit="1" customWidth="1"/>
    <col min="138" max="139" width="11" bestFit="1" customWidth="1"/>
    <col min="140" max="141" width="10" bestFit="1" customWidth="1"/>
    <col min="142" max="150" width="11" bestFit="1" customWidth="1"/>
    <col min="151" max="151" width="10" bestFit="1" customWidth="1"/>
    <col min="152" max="171" width="11" bestFit="1" customWidth="1"/>
    <col min="172" max="172" width="10" bestFit="1" customWidth="1"/>
    <col min="173" max="173" width="11" bestFit="1" customWidth="1"/>
    <col min="174" max="174" width="10" bestFit="1" customWidth="1"/>
    <col min="175" max="179" width="11" bestFit="1" customWidth="1"/>
    <col min="180" max="180" width="10" bestFit="1" customWidth="1"/>
    <col min="181" max="189" width="11" bestFit="1" customWidth="1"/>
    <col min="190" max="190" width="10" bestFit="1" customWidth="1"/>
    <col min="191" max="201" width="11" bestFit="1" customWidth="1"/>
    <col min="202" max="202" width="10" bestFit="1" customWidth="1"/>
    <col min="203" max="216" width="11" bestFit="1" customWidth="1"/>
    <col min="217" max="217" width="10" bestFit="1" customWidth="1"/>
    <col min="218" max="219" width="11" bestFit="1" customWidth="1"/>
    <col min="220" max="220" width="10" bestFit="1" customWidth="1"/>
    <col min="221" max="237" width="11" bestFit="1" customWidth="1"/>
    <col min="238" max="238" width="10" bestFit="1" customWidth="1"/>
    <col min="239" max="249" width="11" bestFit="1" customWidth="1"/>
    <col min="250" max="250" width="10" bestFit="1" customWidth="1"/>
    <col min="251" max="262" width="11" bestFit="1" customWidth="1"/>
    <col min="263" max="263" width="10" bestFit="1" customWidth="1"/>
    <col min="264" max="266" width="11" bestFit="1" customWidth="1"/>
    <col min="267" max="267" width="10" bestFit="1" customWidth="1"/>
    <col min="268" max="275" width="11" bestFit="1" customWidth="1"/>
    <col min="276" max="276" width="10" bestFit="1" customWidth="1"/>
    <col min="277" max="287" width="11" bestFit="1" customWidth="1"/>
    <col min="288" max="288" width="8" bestFit="1" customWidth="1"/>
    <col min="289" max="296" width="11" bestFit="1" customWidth="1"/>
    <col min="297" max="297" width="10" bestFit="1" customWidth="1"/>
    <col min="298" max="301" width="11" bestFit="1" customWidth="1"/>
    <col min="302" max="302" width="10" bestFit="1" customWidth="1"/>
    <col min="303" max="320" width="11" bestFit="1" customWidth="1"/>
    <col min="321" max="321" width="10" bestFit="1" customWidth="1"/>
    <col min="322" max="347" width="11" bestFit="1" customWidth="1"/>
    <col min="348" max="348" width="10" bestFit="1" customWidth="1"/>
    <col min="349" max="350" width="11" bestFit="1" customWidth="1"/>
    <col min="351" max="351" width="10" bestFit="1" customWidth="1"/>
    <col min="352" max="372" width="11" bestFit="1" customWidth="1"/>
    <col min="373" max="373" width="10" bestFit="1" customWidth="1"/>
    <col min="374" max="395" width="11" bestFit="1" customWidth="1"/>
    <col min="396" max="396" width="10" bestFit="1" customWidth="1"/>
    <col min="397" max="409" width="11" bestFit="1" customWidth="1"/>
    <col min="410" max="410" width="10" bestFit="1" customWidth="1"/>
    <col min="411" max="413" width="11" bestFit="1" customWidth="1"/>
    <col min="414" max="417" width="10" bestFit="1" customWidth="1"/>
    <col min="418" max="427" width="11" bestFit="1" customWidth="1"/>
    <col min="428" max="428" width="10" bestFit="1" customWidth="1"/>
    <col min="429" max="434" width="11" bestFit="1" customWidth="1"/>
    <col min="435" max="435" width="10" bestFit="1" customWidth="1"/>
    <col min="436" max="436" width="11" bestFit="1" customWidth="1"/>
    <col min="437" max="437" width="10" bestFit="1" customWidth="1"/>
    <col min="438" max="447" width="11" bestFit="1" customWidth="1"/>
    <col min="448" max="475" width="12" bestFit="1" customWidth="1"/>
    <col min="476" max="476" width="11" bestFit="1" customWidth="1"/>
    <col min="477" max="500" width="12" bestFit="1" customWidth="1"/>
    <col min="501" max="501" width="11" bestFit="1" customWidth="1"/>
    <col min="502" max="504" width="12" bestFit="1" customWidth="1"/>
    <col min="505" max="505" width="11" bestFit="1" customWidth="1"/>
    <col min="506" max="511" width="12" bestFit="1" customWidth="1"/>
    <col min="512" max="512" width="11" bestFit="1" customWidth="1"/>
    <col min="513" max="536" width="12" bestFit="1" customWidth="1"/>
    <col min="537" max="538" width="11" bestFit="1" customWidth="1"/>
    <col min="539" max="541" width="12" bestFit="1" customWidth="1"/>
    <col min="542" max="542" width="11" bestFit="1" customWidth="1"/>
    <col min="543" max="553" width="12" bestFit="1" customWidth="1"/>
    <col min="554" max="554" width="11" bestFit="1" customWidth="1"/>
    <col min="555" max="568" width="12" bestFit="1" customWidth="1"/>
    <col min="569" max="569" width="11" bestFit="1" customWidth="1"/>
    <col min="570" max="588" width="12" bestFit="1" customWidth="1"/>
    <col min="589" max="589" width="11" bestFit="1" customWidth="1"/>
    <col min="590" max="594" width="12" bestFit="1" customWidth="1"/>
    <col min="595" max="595" width="11" bestFit="1" customWidth="1"/>
    <col min="596" max="598" width="12" bestFit="1" customWidth="1"/>
    <col min="599" max="599" width="11" bestFit="1" customWidth="1"/>
    <col min="600" max="607" width="12" bestFit="1" customWidth="1"/>
    <col min="608" max="608" width="11" bestFit="1" customWidth="1"/>
    <col min="609" max="625" width="12" bestFit="1" customWidth="1"/>
    <col min="626" max="626" width="11" bestFit="1" customWidth="1"/>
    <col min="627" max="680" width="12" bestFit="1" customWidth="1"/>
    <col min="681" max="681" width="11" bestFit="1" customWidth="1"/>
    <col min="682" max="688" width="12" bestFit="1" customWidth="1"/>
    <col min="689" max="689" width="11" bestFit="1" customWidth="1"/>
    <col min="690" max="704" width="12" bestFit="1" customWidth="1"/>
    <col min="705" max="705" width="11" bestFit="1" customWidth="1"/>
    <col min="706" max="710" width="12" bestFit="1" customWidth="1"/>
    <col min="711" max="711" width="11" bestFit="1" customWidth="1"/>
    <col min="712" max="725" width="12" bestFit="1" customWidth="1"/>
    <col min="726" max="726" width="11" bestFit="1" customWidth="1"/>
    <col min="727" max="760" width="12" bestFit="1" customWidth="1"/>
    <col min="761" max="761" width="9" bestFit="1" customWidth="1"/>
    <col min="762" max="763" width="12" bestFit="1" customWidth="1"/>
    <col min="764" max="764" width="11" bestFit="1" customWidth="1"/>
    <col min="765" max="766" width="12" bestFit="1" customWidth="1"/>
    <col min="767" max="767" width="11" bestFit="1" customWidth="1"/>
    <col min="768" max="773" width="12" bestFit="1" customWidth="1"/>
    <col min="774" max="774" width="9" bestFit="1" customWidth="1"/>
    <col min="775" max="812" width="12" bestFit="1" customWidth="1"/>
    <col min="813" max="813" width="11" bestFit="1" customWidth="1"/>
    <col min="814" max="816" width="12" bestFit="1" customWidth="1"/>
    <col min="817" max="817" width="11" bestFit="1" customWidth="1"/>
    <col min="818" max="825" width="12" bestFit="1" customWidth="1"/>
    <col min="826" max="826" width="11" bestFit="1" customWidth="1"/>
    <col min="827" max="830" width="12" bestFit="1" customWidth="1"/>
    <col min="831" max="831" width="11" bestFit="1" customWidth="1"/>
    <col min="832" max="832" width="12" bestFit="1" customWidth="1"/>
    <col min="833" max="833" width="11" bestFit="1" customWidth="1"/>
    <col min="834" max="836" width="12" bestFit="1" customWidth="1"/>
    <col min="837" max="837" width="11" bestFit="1" customWidth="1"/>
    <col min="838" max="840" width="12" bestFit="1" customWidth="1"/>
    <col min="841" max="842" width="11" bestFit="1" customWidth="1"/>
    <col min="843" max="861" width="12" bestFit="1" customWidth="1"/>
    <col min="862" max="862" width="11" bestFit="1" customWidth="1"/>
    <col min="863" max="877" width="12" bestFit="1" customWidth="1"/>
    <col min="878" max="878" width="11" bestFit="1" customWidth="1"/>
    <col min="879" max="886" width="12" bestFit="1" customWidth="1"/>
    <col min="887" max="888" width="11" bestFit="1" customWidth="1"/>
    <col min="889" max="893" width="12" bestFit="1" customWidth="1"/>
    <col min="894" max="895" width="11" bestFit="1" customWidth="1"/>
    <col min="896" max="898" width="12" bestFit="1" customWidth="1"/>
    <col min="899" max="899" width="11" bestFit="1" customWidth="1"/>
    <col min="900" max="906" width="12" bestFit="1" customWidth="1"/>
    <col min="907" max="907" width="11" bestFit="1" customWidth="1"/>
    <col min="908" max="914" width="12" bestFit="1" customWidth="1"/>
    <col min="915" max="915" width="11" bestFit="1" customWidth="1"/>
    <col min="916" max="925" width="12" bestFit="1" customWidth="1"/>
    <col min="926" max="926" width="11" bestFit="1" customWidth="1"/>
    <col min="927" max="942" width="12" bestFit="1" customWidth="1"/>
    <col min="943" max="943" width="11" bestFit="1" customWidth="1"/>
    <col min="944" max="958" width="12" bestFit="1" customWidth="1"/>
    <col min="959" max="959" width="11" bestFit="1" customWidth="1"/>
    <col min="960" max="995" width="12" bestFit="1" customWidth="1"/>
    <col min="996" max="997" width="11" bestFit="1" customWidth="1"/>
    <col min="998" max="1015" width="12" bestFit="1" customWidth="1"/>
    <col min="1016" max="1017" width="11" bestFit="1" customWidth="1"/>
    <col min="1018" max="1024" width="12" bestFit="1" customWidth="1"/>
    <col min="1025" max="1025" width="11" bestFit="1" customWidth="1"/>
    <col min="1026" max="1037" width="12" bestFit="1" customWidth="1"/>
    <col min="1038" max="1038" width="11" bestFit="1" customWidth="1"/>
    <col min="1039" max="1051" width="12" bestFit="1" customWidth="1"/>
    <col min="1052" max="1052" width="11" bestFit="1" customWidth="1"/>
    <col min="1053" max="1083" width="12" bestFit="1" customWidth="1"/>
    <col min="1084" max="1084" width="11" bestFit="1" customWidth="1"/>
    <col min="1085" max="1090" width="12" bestFit="1" customWidth="1"/>
    <col min="1091" max="1091" width="11" bestFit="1" customWidth="1"/>
    <col min="1092" max="1102" width="12" bestFit="1" customWidth="1"/>
    <col min="1103" max="1103" width="11" bestFit="1" customWidth="1"/>
    <col min="1104" max="1104" width="12" bestFit="1" customWidth="1"/>
    <col min="1105" max="1105" width="9" bestFit="1" customWidth="1"/>
    <col min="1106" max="1115" width="12" bestFit="1" customWidth="1"/>
    <col min="1116" max="1117" width="11" bestFit="1" customWidth="1"/>
    <col min="1118" max="1136" width="12" bestFit="1" customWidth="1"/>
    <col min="1137" max="1137" width="11" bestFit="1" customWidth="1"/>
    <col min="1138" max="1150" width="12" bestFit="1" customWidth="1"/>
    <col min="1151" max="1151" width="9" bestFit="1" customWidth="1"/>
    <col min="1152" max="1154" width="12" bestFit="1" customWidth="1"/>
    <col min="1155" max="1155" width="11" bestFit="1" customWidth="1"/>
    <col min="1156" max="1160" width="12" bestFit="1" customWidth="1"/>
    <col min="1161" max="1161" width="11" bestFit="1" customWidth="1"/>
    <col min="1162" max="1166" width="12" bestFit="1" customWidth="1"/>
    <col min="1167" max="1167" width="11" bestFit="1" customWidth="1"/>
    <col min="1168" max="1178" width="12" bestFit="1" customWidth="1"/>
    <col min="1179" max="1179" width="11" bestFit="1" customWidth="1"/>
    <col min="1180" max="1189" width="12" bestFit="1" customWidth="1"/>
    <col min="1190" max="1190" width="9" bestFit="1" customWidth="1"/>
    <col min="1191" max="1204" width="12" bestFit="1" customWidth="1"/>
    <col min="1205" max="1205" width="9" bestFit="1" customWidth="1"/>
    <col min="1206" max="1206" width="12" bestFit="1" customWidth="1"/>
    <col min="1207" max="1207" width="11" bestFit="1" customWidth="1"/>
    <col min="1208" max="1210" width="12" bestFit="1" customWidth="1"/>
    <col min="1211" max="1211" width="11" bestFit="1" customWidth="1"/>
    <col min="1212" max="1218" width="12" bestFit="1" customWidth="1"/>
    <col min="1219" max="1220" width="11" bestFit="1" customWidth="1"/>
    <col min="1221" max="1222" width="12" bestFit="1" customWidth="1"/>
    <col min="1223" max="1223" width="11" bestFit="1" customWidth="1"/>
    <col min="1224" max="1225" width="12" bestFit="1" customWidth="1"/>
    <col min="1226" max="1226" width="11" bestFit="1" customWidth="1"/>
    <col min="1227" max="1227" width="12" bestFit="1" customWidth="1"/>
    <col min="1228" max="1228" width="11" bestFit="1" customWidth="1"/>
    <col min="1229" max="1235" width="12" bestFit="1" customWidth="1"/>
    <col min="1236" max="1236" width="11" bestFit="1" customWidth="1"/>
    <col min="1237" max="1242" width="12" bestFit="1" customWidth="1"/>
    <col min="1243" max="1243" width="11" bestFit="1" customWidth="1"/>
    <col min="1244" max="1262" width="12" bestFit="1" customWidth="1"/>
    <col min="1263" max="1263" width="11" bestFit="1" customWidth="1"/>
    <col min="1264" max="1270" width="12" bestFit="1" customWidth="1"/>
    <col min="1271" max="1271" width="11" bestFit="1" customWidth="1"/>
    <col min="1272" max="1274" width="12" bestFit="1" customWidth="1"/>
    <col min="1275" max="1276" width="11" bestFit="1" customWidth="1"/>
    <col min="1277" max="1278" width="12" bestFit="1" customWidth="1"/>
    <col min="1279" max="1279" width="11" bestFit="1" customWidth="1"/>
    <col min="1280" max="1280" width="12" bestFit="1" customWidth="1"/>
    <col min="1281" max="1281" width="11" bestFit="1" customWidth="1"/>
    <col min="1282" max="1293" width="12" bestFit="1" customWidth="1"/>
    <col min="1294" max="1294" width="11" bestFit="1" customWidth="1"/>
    <col min="1295" max="1296" width="12" bestFit="1" customWidth="1"/>
    <col min="1297" max="1297" width="11" bestFit="1" customWidth="1"/>
    <col min="1298" max="1302" width="12" bestFit="1" customWidth="1"/>
    <col min="1303" max="1303" width="11" bestFit="1" customWidth="1"/>
    <col min="1304" max="1313" width="12" bestFit="1" customWidth="1"/>
    <col min="1314" max="1314" width="11" bestFit="1" customWidth="1"/>
    <col min="1315" max="1320" width="12" bestFit="1" customWidth="1"/>
    <col min="1321" max="1321" width="11" bestFit="1" customWidth="1"/>
    <col min="1322" max="1332" width="12" bestFit="1" customWidth="1"/>
    <col min="1333" max="1333" width="11" bestFit="1" customWidth="1"/>
    <col min="1334" max="1346" width="12" bestFit="1" customWidth="1"/>
    <col min="1347" max="1347" width="11" bestFit="1" customWidth="1"/>
    <col min="1348" max="1371" width="12" bestFit="1" customWidth="1"/>
    <col min="1372" max="1372" width="11" bestFit="1" customWidth="1"/>
    <col min="1373" max="1375" width="12" bestFit="1" customWidth="1"/>
    <col min="1376" max="1376" width="9" bestFit="1" customWidth="1"/>
    <col min="1377" max="1378" width="12" bestFit="1" customWidth="1"/>
    <col min="1379" max="1379" width="11" bestFit="1" customWidth="1"/>
    <col min="1380" max="1381" width="12" bestFit="1" customWidth="1"/>
    <col min="1382" max="1382" width="11" bestFit="1" customWidth="1"/>
    <col min="1383" max="1391" width="12" bestFit="1" customWidth="1"/>
    <col min="1392" max="1392" width="11" bestFit="1" customWidth="1"/>
    <col min="1393" max="1407" width="12" bestFit="1" customWidth="1"/>
    <col min="1408" max="1408" width="11" bestFit="1" customWidth="1"/>
    <col min="1409" max="1409" width="12" bestFit="1" customWidth="1"/>
    <col min="1410" max="1410" width="11" bestFit="1" customWidth="1"/>
    <col min="1411" max="1412" width="12" bestFit="1" customWidth="1"/>
    <col min="1413" max="1413" width="11" bestFit="1" customWidth="1"/>
    <col min="1414" max="1421" width="12" bestFit="1" customWidth="1"/>
    <col min="1422" max="1422" width="11" bestFit="1" customWidth="1"/>
    <col min="1423" max="1424" width="12" bestFit="1" customWidth="1"/>
    <col min="1425" max="1425" width="11" bestFit="1" customWidth="1"/>
    <col min="1426" max="1430" width="12" bestFit="1" customWidth="1"/>
    <col min="1431" max="1432" width="11" bestFit="1" customWidth="1"/>
    <col min="1433" max="1440" width="12" bestFit="1" customWidth="1"/>
    <col min="1441" max="1441" width="11" bestFit="1" customWidth="1"/>
    <col min="1442" max="1464" width="12" bestFit="1" customWidth="1"/>
    <col min="1465" max="1465" width="10" bestFit="1" customWidth="1"/>
    <col min="1466" max="1477" width="12" bestFit="1" customWidth="1"/>
    <col min="1478" max="1478" width="10" bestFit="1" customWidth="1"/>
    <col min="1479" max="1497" width="12" bestFit="1" customWidth="1"/>
    <col min="1498" max="1498" width="10" bestFit="1" customWidth="1"/>
    <col min="1499" max="1511" width="12" bestFit="1" customWidth="1"/>
    <col min="1512" max="1512" width="10" bestFit="1" customWidth="1"/>
    <col min="1513" max="1520" width="12" bestFit="1" customWidth="1"/>
    <col min="1521" max="1521" width="10" bestFit="1" customWidth="1"/>
    <col min="1522" max="1522" width="12" bestFit="1" customWidth="1"/>
    <col min="1523" max="1523" width="10" bestFit="1" customWidth="1"/>
    <col min="1524" max="1531" width="12" bestFit="1" customWidth="1"/>
    <col min="1532" max="1533" width="10" bestFit="1" customWidth="1"/>
    <col min="1534" max="1545" width="12" bestFit="1" customWidth="1"/>
    <col min="1546" max="1546" width="10" bestFit="1" customWidth="1"/>
    <col min="1547" max="1572" width="12" bestFit="1" customWidth="1"/>
    <col min="1573" max="1573" width="10" bestFit="1" customWidth="1"/>
    <col min="1574" max="1576" width="12" bestFit="1" customWidth="1"/>
    <col min="1577" max="1577" width="10" bestFit="1" customWidth="1"/>
    <col min="1578" max="1584" width="12" bestFit="1" customWidth="1"/>
    <col min="1585" max="1585" width="10" bestFit="1" customWidth="1"/>
    <col min="1586" max="1587" width="12" bestFit="1" customWidth="1"/>
    <col min="1588" max="1588" width="10" bestFit="1" customWidth="1"/>
    <col min="1589" max="1593" width="12" bestFit="1" customWidth="1"/>
    <col min="1594" max="1594" width="10" bestFit="1" customWidth="1"/>
    <col min="1595" max="1597" width="12" bestFit="1" customWidth="1"/>
    <col min="1598" max="1598" width="10" bestFit="1" customWidth="1"/>
    <col min="1599" max="1600" width="12" bestFit="1" customWidth="1"/>
    <col min="1601" max="1601" width="10" bestFit="1" customWidth="1"/>
    <col min="1602" max="1604" width="12" bestFit="1" customWidth="1"/>
    <col min="1605" max="1605" width="10" bestFit="1" customWidth="1"/>
    <col min="1606" max="1615" width="12" bestFit="1" customWidth="1"/>
    <col min="1616" max="1616" width="10" bestFit="1" customWidth="1"/>
    <col min="1617" max="1628" width="12" bestFit="1" customWidth="1"/>
    <col min="1629" max="1629" width="10" bestFit="1" customWidth="1"/>
    <col min="1630" max="1662" width="12" bestFit="1" customWidth="1"/>
    <col min="1663" max="1663" width="10" bestFit="1" customWidth="1"/>
    <col min="1664" max="1677" width="12" bestFit="1" customWidth="1"/>
    <col min="1678" max="1678" width="10" bestFit="1" customWidth="1"/>
    <col min="1679" max="1689" width="12" bestFit="1" customWidth="1"/>
    <col min="1690" max="1690" width="10" bestFit="1" customWidth="1"/>
    <col min="1691" max="1692" width="12" bestFit="1" customWidth="1"/>
    <col min="1693" max="1693" width="10" bestFit="1" customWidth="1"/>
    <col min="1694" max="1695" width="12" bestFit="1" customWidth="1"/>
    <col min="1696" max="1696" width="10" bestFit="1" customWidth="1"/>
    <col min="1697" max="1709" width="12" bestFit="1" customWidth="1"/>
    <col min="1710" max="1710" width="10" bestFit="1" customWidth="1"/>
    <col min="1711" max="1715" width="12" bestFit="1" customWidth="1"/>
    <col min="1716" max="1716" width="10" bestFit="1" customWidth="1"/>
    <col min="1717" max="1718" width="12" bestFit="1" customWidth="1"/>
    <col min="1719" max="1722" width="10" bestFit="1" customWidth="1"/>
    <col min="1723" max="1723" width="12" bestFit="1" customWidth="1"/>
    <col min="1724" max="1724" width="10" bestFit="1" customWidth="1"/>
    <col min="1725" max="1727" width="12" bestFit="1" customWidth="1"/>
    <col min="1728" max="1728" width="10" bestFit="1" customWidth="1"/>
    <col min="1729" max="1734" width="12" bestFit="1" customWidth="1"/>
    <col min="1735" max="1735" width="10" bestFit="1" customWidth="1"/>
    <col min="1736" max="1736" width="12" bestFit="1" customWidth="1"/>
    <col min="1737" max="1737" width="10" bestFit="1" customWidth="1"/>
    <col min="1738" max="1750" width="12" bestFit="1" customWidth="1"/>
    <col min="1751" max="1751" width="10" bestFit="1" customWidth="1"/>
    <col min="1752" max="1754" width="12" bestFit="1" customWidth="1"/>
    <col min="1755" max="1755" width="10" bestFit="1" customWidth="1"/>
    <col min="1756" max="1762" width="12" bestFit="1" customWidth="1"/>
    <col min="1763" max="1763" width="10" bestFit="1" customWidth="1"/>
    <col min="1764" max="1766" width="12" bestFit="1" customWidth="1"/>
    <col min="1767" max="1767" width="10" bestFit="1" customWidth="1"/>
    <col min="1768" max="1776" width="12" bestFit="1" customWidth="1"/>
    <col min="1777" max="1777" width="10" bestFit="1" customWidth="1"/>
    <col min="1778" max="1781" width="12" bestFit="1" customWidth="1"/>
    <col min="1782" max="1782" width="10" bestFit="1" customWidth="1"/>
    <col min="1783" max="1792" width="12" bestFit="1" customWidth="1"/>
    <col min="1793" max="1793" width="10" bestFit="1" customWidth="1"/>
    <col min="1794" max="1794" width="12" bestFit="1" customWidth="1"/>
    <col min="1795" max="1795" width="10" bestFit="1" customWidth="1"/>
    <col min="1796" max="1800" width="12" bestFit="1" customWidth="1"/>
    <col min="1801" max="1870" width="11" bestFit="1" customWidth="1"/>
    <col min="1871" max="1903" width="12" bestFit="1" customWidth="1"/>
    <col min="1904" max="1904" width="10.7109375" bestFit="1" customWidth="1"/>
    <col min="1905" max="1905" width="11" bestFit="1" customWidth="1"/>
    <col min="1906" max="1906" width="10.7109375" bestFit="1" customWidth="1"/>
  </cols>
  <sheetData>
    <row r="3" spans="1:11" x14ac:dyDescent="0.25">
      <c r="A3" s="3" t="s">
        <v>293</v>
      </c>
      <c r="B3" s="6" t="s">
        <v>304</v>
      </c>
      <c r="C3" s="6" t="s">
        <v>303</v>
      </c>
      <c r="D3" s="6" t="s">
        <v>305</v>
      </c>
    </row>
    <row r="4" spans="1:11" x14ac:dyDescent="0.25">
      <c r="A4" s="4" t="s">
        <v>295</v>
      </c>
      <c r="B4" s="6">
        <v>1754343775354.04</v>
      </c>
      <c r="C4" s="6">
        <v>578376298680.67029</v>
      </c>
      <c r="D4" s="6">
        <v>506732497022.98004</v>
      </c>
    </row>
    <row r="5" spans="1:11" x14ac:dyDescent="0.25">
      <c r="A5" s="4" t="s">
        <v>296</v>
      </c>
      <c r="B5" s="6">
        <v>143063894915.04996</v>
      </c>
      <c r="C5" s="6">
        <v>222916699879.17001</v>
      </c>
      <c r="D5" s="6">
        <v>221169751959.97998</v>
      </c>
    </row>
    <row r="6" spans="1:11" x14ac:dyDescent="0.25">
      <c r="A6" s="4" t="s">
        <v>297</v>
      </c>
      <c r="B6" s="6">
        <v>201968385732.49991</v>
      </c>
      <c r="C6" s="6">
        <v>393300237918.56995</v>
      </c>
      <c r="D6" s="6">
        <v>392850475406.71991</v>
      </c>
    </row>
    <row r="7" spans="1:11" x14ac:dyDescent="0.25">
      <c r="A7" s="4" t="s">
        <v>298</v>
      </c>
      <c r="B7" s="6">
        <v>163452791404.72</v>
      </c>
      <c r="C7" s="6">
        <v>230160829228.53</v>
      </c>
      <c r="D7" s="6">
        <v>228961975605.13</v>
      </c>
      <c r="J7" s="3" t="s">
        <v>293</v>
      </c>
      <c r="K7" s="5" t="s">
        <v>307</v>
      </c>
    </row>
    <row r="8" spans="1:11" x14ac:dyDescent="0.25">
      <c r="A8" s="4" t="s">
        <v>299</v>
      </c>
      <c r="B8" s="6">
        <v>358778113569.44995</v>
      </c>
      <c r="C8" s="6">
        <v>500508737189.72998</v>
      </c>
      <c r="D8" s="6">
        <v>475292747498.96997</v>
      </c>
      <c r="J8" s="4" t="s">
        <v>295</v>
      </c>
      <c r="K8" s="5">
        <v>238</v>
      </c>
    </row>
    <row r="9" spans="1:11" x14ac:dyDescent="0.25">
      <c r="A9" s="4" t="s">
        <v>300</v>
      </c>
      <c r="B9" s="6">
        <v>514378822031.20007</v>
      </c>
      <c r="C9" s="6">
        <v>235300328057.43002</v>
      </c>
      <c r="D9" s="6">
        <v>226100946227.45004</v>
      </c>
      <c r="J9" s="4" t="s">
        <v>296</v>
      </c>
      <c r="K9" s="5">
        <v>239</v>
      </c>
    </row>
    <row r="10" spans="1:11" x14ac:dyDescent="0.25">
      <c r="A10" s="4" t="s">
        <v>301</v>
      </c>
      <c r="B10" s="6">
        <v>317897778731.72021</v>
      </c>
      <c r="C10" s="6">
        <v>497442172649.35004</v>
      </c>
      <c r="D10" s="6">
        <v>529455930245.26984</v>
      </c>
      <c r="J10" s="4" t="s">
        <v>297</v>
      </c>
      <c r="K10" s="5">
        <v>243</v>
      </c>
    </row>
    <row r="11" spans="1:11" x14ac:dyDescent="0.25">
      <c r="A11" s="4" t="s">
        <v>302</v>
      </c>
      <c r="B11" s="6">
        <v>86395315254.230042</v>
      </c>
      <c r="C11" s="6">
        <v>133819774953.82996</v>
      </c>
      <c r="D11" s="6">
        <v>255052558956.9201</v>
      </c>
      <c r="J11" s="4" t="s">
        <v>298</v>
      </c>
      <c r="K11" s="5">
        <v>243</v>
      </c>
    </row>
    <row r="12" spans="1:11" x14ac:dyDescent="0.25">
      <c r="A12" s="4" t="s">
        <v>294</v>
      </c>
      <c r="B12" s="6">
        <v>3540278876992.9102</v>
      </c>
      <c r="C12" s="6">
        <v>2791825078557.2803</v>
      </c>
      <c r="D12" s="6">
        <v>2835616882923.4199</v>
      </c>
      <c r="J12" s="4" t="s">
        <v>299</v>
      </c>
      <c r="K12" s="5">
        <v>247</v>
      </c>
    </row>
    <row r="13" spans="1:11" x14ac:dyDescent="0.25">
      <c r="J13" s="4" t="s">
        <v>300</v>
      </c>
      <c r="K13" s="5">
        <v>247</v>
      </c>
    </row>
    <row r="14" spans="1:11" x14ac:dyDescent="0.25">
      <c r="J14" s="4" t="s">
        <v>301</v>
      </c>
      <c r="K14" s="5">
        <v>245</v>
      </c>
    </row>
    <row r="15" spans="1:11" x14ac:dyDescent="0.25">
      <c r="J15" s="4" t="s">
        <v>302</v>
      </c>
      <c r="K15" s="5">
        <v>248</v>
      </c>
    </row>
    <row r="16" spans="1:11" x14ac:dyDescent="0.25">
      <c r="J16" s="4" t="s">
        <v>294</v>
      </c>
      <c r="K16" s="5">
        <v>1950</v>
      </c>
    </row>
    <row r="17" spans="1:11" x14ac:dyDescent="0.25">
      <c r="B17"/>
      <c r="K17"/>
    </row>
    <row r="18" spans="1:11" x14ac:dyDescent="0.25">
      <c r="C18" s="8" t="s">
        <v>306</v>
      </c>
    </row>
    <row r="19" spans="1:11" x14ac:dyDescent="0.25">
      <c r="A19" s="3" t="s">
        <v>293</v>
      </c>
      <c r="B19" t="s">
        <v>304</v>
      </c>
      <c r="C19"/>
      <c r="D19"/>
    </row>
    <row r="20" spans="1:11" x14ac:dyDescent="0.25">
      <c r="A20" s="4" t="s">
        <v>61</v>
      </c>
      <c r="B20" s="6">
        <v>36167649.659999996</v>
      </c>
      <c r="C20"/>
      <c r="D20"/>
    </row>
    <row r="21" spans="1:11" x14ac:dyDescent="0.25">
      <c r="A21" s="4" t="s">
        <v>63</v>
      </c>
      <c r="B21" s="6">
        <v>395038104.58000004</v>
      </c>
      <c r="C21"/>
      <c r="D21"/>
    </row>
    <row r="22" spans="1:11" x14ac:dyDescent="0.25">
      <c r="A22" s="4" t="s">
        <v>9</v>
      </c>
      <c r="B22" s="6">
        <v>648194104.25</v>
      </c>
      <c r="C22"/>
      <c r="D22"/>
    </row>
    <row r="23" spans="1:11" x14ac:dyDescent="0.25">
      <c r="A23" s="4" t="s">
        <v>45</v>
      </c>
      <c r="B23" s="6">
        <v>333033435766.30994</v>
      </c>
      <c r="C23"/>
      <c r="D23"/>
    </row>
    <row r="24" spans="1:11" x14ac:dyDescent="0.25">
      <c r="A24" s="4" t="s">
        <v>33</v>
      </c>
      <c r="B24" s="6">
        <v>299399791.56</v>
      </c>
      <c r="C24"/>
      <c r="D24"/>
    </row>
    <row r="25" spans="1:11" x14ac:dyDescent="0.25">
      <c r="A25" s="4" t="s">
        <v>37</v>
      </c>
      <c r="B25" s="6">
        <v>5598372853.1800003</v>
      </c>
      <c r="C25"/>
      <c r="D25"/>
    </row>
    <row r="26" spans="1:11" x14ac:dyDescent="0.25">
      <c r="A26" s="4" t="s">
        <v>192</v>
      </c>
      <c r="B26" s="6">
        <v>1003481771.5500001</v>
      </c>
      <c r="C26"/>
      <c r="D26"/>
    </row>
    <row r="27" spans="1:11" x14ac:dyDescent="0.25">
      <c r="A27" s="4" t="s">
        <v>31</v>
      </c>
      <c r="B27" s="6">
        <v>327839415.00000006</v>
      </c>
      <c r="C27"/>
      <c r="D27"/>
    </row>
    <row r="28" spans="1:11" x14ac:dyDescent="0.25">
      <c r="A28" s="4" t="s">
        <v>13</v>
      </c>
      <c r="B28" s="6">
        <v>3044463685.0900006</v>
      </c>
      <c r="C28"/>
      <c r="D28"/>
    </row>
    <row r="29" spans="1:11" x14ac:dyDescent="0.25">
      <c r="A29" s="4" t="s">
        <v>125</v>
      </c>
      <c r="B29" s="6">
        <v>128632207453.91</v>
      </c>
      <c r="C29"/>
    </row>
    <row r="30" spans="1:11" x14ac:dyDescent="0.25">
      <c r="A30" s="4" t="s">
        <v>69</v>
      </c>
      <c r="B30" s="6">
        <v>263188184.38</v>
      </c>
      <c r="C30"/>
    </row>
    <row r="31" spans="1:11" x14ac:dyDescent="0.25">
      <c r="A31" s="4" t="s">
        <v>16</v>
      </c>
      <c r="B31" s="6">
        <v>12941597332.710003</v>
      </c>
      <c r="C31"/>
    </row>
    <row r="32" spans="1:11" x14ac:dyDescent="0.25">
      <c r="A32" s="4" t="s">
        <v>57</v>
      </c>
      <c r="B32" s="6">
        <v>69715937.840000004</v>
      </c>
      <c r="C32"/>
    </row>
    <row r="33" spans="1:3" x14ac:dyDescent="0.25">
      <c r="A33" s="4" t="s">
        <v>19</v>
      </c>
      <c r="B33" s="6">
        <v>1860149668.4000001</v>
      </c>
      <c r="C33"/>
    </row>
    <row r="34" spans="1:3" x14ac:dyDescent="0.25">
      <c r="A34" s="4" t="s">
        <v>80</v>
      </c>
      <c r="B34" s="6">
        <v>10298469874.09</v>
      </c>
      <c r="C34"/>
    </row>
    <row r="35" spans="1:3" x14ac:dyDescent="0.25">
      <c r="A35" s="4" t="s">
        <v>27</v>
      </c>
      <c r="B35" s="6">
        <v>-122195350.08999999</v>
      </c>
      <c r="C35"/>
    </row>
    <row r="36" spans="1:3" x14ac:dyDescent="0.25">
      <c r="A36" s="4" t="s">
        <v>24</v>
      </c>
      <c r="B36" s="6">
        <v>247298948.76999995</v>
      </c>
      <c r="C36"/>
    </row>
    <row r="37" spans="1:3" x14ac:dyDescent="0.25">
      <c r="A37" s="4" t="s">
        <v>22</v>
      </c>
      <c r="B37" s="6">
        <v>218257325.78</v>
      </c>
    </row>
    <row r="38" spans="1:3" x14ac:dyDescent="0.25">
      <c r="A38" s="4" t="s">
        <v>75</v>
      </c>
      <c r="B38" s="6">
        <v>184801945.73999998</v>
      </c>
    </row>
    <row r="39" spans="1:3" x14ac:dyDescent="0.25">
      <c r="A39" s="4" t="s">
        <v>77</v>
      </c>
      <c r="B39" s="6">
        <v>279276927.99000001</v>
      </c>
    </row>
    <row r="40" spans="1:3" x14ac:dyDescent="0.25">
      <c r="A40" s="4" t="s">
        <v>53</v>
      </c>
      <c r="B40" s="6">
        <v>262178524.34999999</v>
      </c>
    </row>
    <row r="41" spans="1:3" x14ac:dyDescent="0.25">
      <c r="A41" s="4" t="s">
        <v>223</v>
      </c>
      <c r="B41" s="6">
        <v>271062858.75999999</v>
      </c>
    </row>
    <row r="42" spans="1:3" x14ac:dyDescent="0.25">
      <c r="A42" s="4" t="s">
        <v>29</v>
      </c>
      <c r="B42" s="6">
        <v>4877588149.7400007</v>
      </c>
    </row>
    <row r="43" spans="1:3" x14ac:dyDescent="0.25">
      <c r="A43" s="4" t="s">
        <v>50</v>
      </c>
      <c r="B43" s="6">
        <v>702048299.06999993</v>
      </c>
    </row>
    <row r="44" spans="1:3" x14ac:dyDescent="0.25">
      <c r="A44" s="4" t="s">
        <v>127</v>
      </c>
      <c r="B44" s="6">
        <v>125379779.56</v>
      </c>
    </row>
    <row r="45" spans="1:3" x14ac:dyDescent="0.25">
      <c r="A45" s="4" t="s">
        <v>130</v>
      </c>
      <c r="B45" s="6">
        <v>1490460502.6900001</v>
      </c>
    </row>
    <row r="46" spans="1:3" x14ac:dyDescent="0.25">
      <c r="A46" s="4" t="s">
        <v>48</v>
      </c>
      <c r="B46" s="6">
        <v>7255681889.29</v>
      </c>
    </row>
    <row r="47" spans="1:3" x14ac:dyDescent="0.25">
      <c r="A47" s="4" t="s">
        <v>210</v>
      </c>
      <c r="B47" s="6">
        <v>411.42</v>
      </c>
    </row>
    <row r="48" spans="1:3" x14ac:dyDescent="0.25">
      <c r="A48" s="4" t="s">
        <v>7</v>
      </c>
      <c r="B48" s="6">
        <v>8678594.1400000006</v>
      </c>
    </row>
    <row r="49" spans="1:4" x14ac:dyDescent="0.25">
      <c r="A49" s="4" t="s">
        <v>216</v>
      </c>
      <c r="B49" s="6">
        <v>100000</v>
      </c>
    </row>
    <row r="50" spans="1:4" x14ac:dyDescent="0.25">
      <c r="A50" s="4" t="s">
        <v>206</v>
      </c>
      <c r="B50" s="6">
        <v>30000</v>
      </c>
    </row>
    <row r="51" spans="1:4" x14ac:dyDescent="0.25">
      <c r="A51" s="4" t="s">
        <v>11</v>
      </c>
      <c r="B51" s="6">
        <v>71607523.180000007</v>
      </c>
    </row>
    <row r="52" spans="1:4" x14ac:dyDescent="0.25">
      <c r="A52" s="4" t="s">
        <v>140</v>
      </c>
      <c r="B52" s="6">
        <v>25264577.300000001</v>
      </c>
    </row>
    <row r="53" spans="1:4" x14ac:dyDescent="0.25">
      <c r="A53" s="4" t="s">
        <v>84</v>
      </c>
      <c r="B53" s="6">
        <v>29579531</v>
      </c>
    </row>
    <row r="54" spans="1:4" x14ac:dyDescent="0.25">
      <c r="A54" s="4" t="s">
        <v>294</v>
      </c>
      <c r="B54" s="6">
        <v>514378822031.20001</v>
      </c>
    </row>
    <row r="59" spans="1:4" x14ac:dyDescent="0.25">
      <c r="A59" s="3" t="s">
        <v>293</v>
      </c>
      <c r="B59" t="s">
        <v>303</v>
      </c>
      <c r="C59"/>
      <c r="D59"/>
    </row>
    <row r="60" spans="1:4" x14ac:dyDescent="0.25">
      <c r="A60" s="4" t="s">
        <v>234</v>
      </c>
      <c r="B60" s="6">
        <v>698115773.70000005</v>
      </c>
      <c r="C60"/>
      <c r="D60"/>
    </row>
    <row r="61" spans="1:4" x14ac:dyDescent="0.25">
      <c r="A61" s="4" t="s">
        <v>122</v>
      </c>
      <c r="B61" s="6">
        <v>28755878.34</v>
      </c>
      <c r="C61"/>
      <c r="D61"/>
    </row>
    <row r="62" spans="1:4" x14ac:dyDescent="0.25">
      <c r="A62" s="4" t="s">
        <v>76</v>
      </c>
      <c r="B62" s="6">
        <v>42876843.68</v>
      </c>
      <c r="C62"/>
      <c r="D62"/>
    </row>
    <row r="63" spans="1:4" x14ac:dyDescent="0.25">
      <c r="A63" s="4" t="s">
        <v>25</v>
      </c>
      <c r="B63" s="6">
        <v>661031120.88999999</v>
      </c>
      <c r="C63"/>
      <c r="D63"/>
    </row>
    <row r="64" spans="1:4" x14ac:dyDescent="0.25">
      <c r="A64" s="4" t="s">
        <v>47</v>
      </c>
      <c r="B64" s="6">
        <v>554516639.44000006</v>
      </c>
      <c r="C64"/>
      <c r="D64"/>
    </row>
    <row r="65" spans="1:4" x14ac:dyDescent="0.25">
      <c r="A65" s="4" t="s">
        <v>231</v>
      </c>
      <c r="B65" s="6">
        <v>255390327.15000004</v>
      </c>
      <c r="C65"/>
      <c r="D65"/>
    </row>
    <row r="66" spans="1:4" x14ac:dyDescent="0.25">
      <c r="A66" s="4" t="s">
        <v>10</v>
      </c>
      <c r="B66" s="6">
        <v>17004755.919999998</v>
      </c>
      <c r="C66"/>
      <c r="D66"/>
    </row>
    <row r="67" spans="1:4" x14ac:dyDescent="0.25">
      <c r="A67" s="4" t="s">
        <v>72</v>
      </c>
      <c r="B67" s="6">
        <v>26713378.890000001</v>
      </c>
      <c r="C67"/>
      <c r="D67"/>
    </row>
    <row r="68" spans="1:4" x14ac:dyDescent="0.25">
      <c r="A68" s="4" t="s">
        <v>71</v>
      </c>
      <c r="B68" s="6">
        <v>61123868.009999998</v>
      </c>
      <c r="C68"/>
      <c r="D68"/>
    </row>
    <row r="69" spans="1:4" x14ac:dyDescent="0.25">
      <c r="A69" s="4" t="s">
        <v>74</v>
      </c>
      <c r="B69" s="6">
        <v>8851029.8300000001</v>
      </c>
      <c r="C69"/>
    </row>
    <row r="70" spans="1:4" x14ac:dyDescent="0.25">
      <c r="A70" s="4" t="s">
        <v>153</v>
      </c>
      <c r="B70" s="6">
        <v>173216087.05000001</v>
      </c>
      <c r="C70"/>
    </row>
    <row r="71" spans="1:4" x14ac:dyDescent="0.25">
      <c r="A71" s="4" t="s">
        <v>82</v>
      </c>
      <c r="B71" s="6">
        <v>58113598.640000001</v>
      </c>
      <c r="C71"/>
    </row>
    <row r="72" spans="1:4" x14ac:dyDescent="0.25">
      <c r="A72" s="4" t="s">
        <v>62</v>
      </c>
      <c r="B72" s="6">
        <v>345483324.03999996</v>
      </c>
      <c r="C72"/>
    </row>
    <row r="73" spans="1:4" x14ac:dyDescent="0.25">
      <c r="A73" s="4" t="s">
        <v>56</v>
      </c>
      <c r="B73" s="6">
        <v>856174895.21000004</v>
      </c>
      <c r="C73"/>
    </row>
    <row r="74" spans="1:4" x14ac:dyDescent="0.25">
      <c r="A74" s="4" t="s">
        <v>68</v>
      </c>
      <c r="B74" s="6">
        <v>2578852.31</v>
      </c>
      <c r="C74"/>
    </row>
    <row r="75" spans="1:4" x14ac:dyDescent="0.25">
      <c r="A75" s="4" t="s">
        <v>236</v>
      </c>
      <c r="B75" s="6">
        <v>74848328.950000003</v>
      </c>
      <c r="C75"/>
    </row>
    <row r="76" spans="1:4" x14ac:dyDescent="0.25">
      <c r="A76" s="4" t="s">
        <v>149</v>
      </c>
      <c r="B76" s="6">
        <v>871193611.24999988</v>
      </c>
      <c r="C76"/>
    </row>
    <row r="77" spans="1:4" x14ac:dyDescent="0.25">
      <c r="A77" s="4" t="s">
        <v>134</v>
      </c>
      <c r="B77" s="6">
        <v>0</v>
      </c>
    </row>
    <row r="78" spans="1:4" x14ac:dyDescent="0.25">
      <c r="A78" s="4" t="s">
        <v>199</v>
      </c>
      <c r="B78" s="6">
        <v>3053179737.4999995</v>
      </c>
    </row>
    <row r="79" spans="1:4" x14ac:dyDescent="0.25">
      <c r="A79" s="4" t="s">
        <v>194</v>
      </c>
      <c r="B79" s="6">
        <v>814361243.57999992</v>
      </c>
    </row>
    <row r="80" spans="1:4" x14ac:dyDescent="0.25">
      <c r="A80" s="4" t="s">
        <v>64</v>
      </c>
      <c r="B80" s="6">
        <v>2429983820.4299998</v>
      </c>
    </row>
    <row r="81" spans="1:2" x14ac:dyDescent="0.25">
      <c r="A81" s="4" t="s">
        <v>51</v>
      </c>
      <c r="B81" s="6">
        <v>449898933.21999997</v>
      </c>
    </row>
    <row r="82" spans="1:2" x14ac:dyDescent="0.25">
      <c r="A82" s="4" t="s">
        <v>60</v>
      </c>
      <c r="B82" s="6">
        <v>509456396.47999996</v>
      </c>
    </row>
    <row r="83" spans="1:2" x14ac:dyDescent="0.25">
      <c r="A83" s="4" t="s">
        <v>54</v>
      </c>
      <c r="B83" s="6">
        <v>878516957.88999999</v>
      </c>
    </row>
    <row r="84" spans="1:2" x14ac:dyDescent="0.25">
      <c r="A84" s="4" t="s">
        <v>116</v>
      </c>
      <c r="B84" s="6">
        <v>2446108855.8599997</v>
      </c>
    </row>
    <row r="85" spans="1:2" x14ac:dyDescent="0.25">
      <c r="A85" s="4" t="s">
        <v>200</v>
      </c>
      <c r="B85" s="6">
        <v>1727891494.4499998</v>
      </c>
    </row>
    <row r="86" spans="1:2" x14ac:dyDescent="0.25">
      <c r="A86" s="4" t="s">
        <v>197</v>
      </c>
      <c r="B86" s="6">
        <v>14601804.310000001</v>
      </c>
    </row>
    <row r="87" spans="1:2" x14ac:dyDescent="0.25">
      <c r="A87" s="4" t="s">
        <v>40</v>
      </c>
      <c r="B87" s="6">
        <v>24327234.729999997</v>
      </c>
    </row>
    <row r="88" spans="1:2" x14ac:dyDescent="0.25">
      <c r="A88" s="4" t="s">
        <v>242</v>
      </c>
      <c r="B88" s="6">
        <v>287756234.53999996</v>
      </c>
    </row>
    <row r="89" spans="1:2" x14ac:dyDescent="0.25">
      <c r="A89" s="4" t="s">
        <v>135</v>
      </c>
      <c r="B89" s="6">
        <v>1356857796.3299999</v>
      </c>
    </row>
    <row r="90" spans="1:2" x14ac:dyDescent="0.25">
      <c r="A90" s="4" t="s">
        <v>204</v>
      </c>
      <c r="B90" s="6">
        <v>1640739836463.75</v>
      </c>
    </row>
    <row r="91" spans="1:2" x14ac:dyDescent="0.25">
      <c r="A91" s="4" t="s">
        <v>34</v>
      </c>
      <c r="B91" s="6">
        <v>2238570125.7600002</v>
      </c>
    </row>
    <row r="92" spans="1:2" x14ac:dyDescent="0.25">
      <c r="A92" s="4" t="s">
        <v>46</v>
      </c>
      <c r="B92" s="6">
        <v>116966261.15000001</v>
      </c>
    </row>
    <row r="93" spans="1:2" x14ac:dyDescent="0.25">
      <c r="A93" s="4" t="s">
        <v>78</v>
      </c>
      <c r="B93" s="6">
        <v>1698584439.1999998</v>
      </c>
    </row>
    <row r="94" spans="1:2" x14ac:dyDescent="0.25">
      <c r="A94" s="4" t="s">
        <v>238</v>
      </c>
      <c r="B94" s="6">
        <v>137535074.27000001</v>
      </c>
    </row>
    <row r="95" spans="1:2" x14ac:dyDescent="0.25">
      <c r="A95" s="4" t="s">
        <v>115</v>
      </c>
      <c r="B95" s="6">
        <v>187852011.88</v>
      </c>
    </row>
    <row r="96" spans="1:2" x14ac:dyDescent="0.25">
      <c r="A96" s="4" t="s">
        <v>120</v>
      </c>
      <c r="B96" s="6">
        <v>21622828.949999999</v>
      </c>
    </row>
    <row r="97" spans="1:2" x14ac:dyDescent="0.25">
      <c r="A97" s="4" t="s">
        <v>121</v>
      </c>
      <c r="B97" s="6">
        <v>499865836.13999999</v>
      </c>
    </row>
    <row r="98" spans="1:2" x14ac:dyDescent="0.25">
      <c r="A98" s="4" t="s">
        <v>112</v>
      </c>
      <c r="B98" s="6">
        <v>13971225922.52</v>
      </c>
    </row>
    <row r="99" spans="1:2" x14ac:dyDescent="0.25">
      <c r="A99" s="4" t="s">
        <v>203</v>
      </c>
      <c r="B99" s="6">
        <v>518954701.42999995</v>
      </c>
    </row>
    <row r="100" spans="1:2" x14ac:dyDescent="0.25">
      <c r="A100" s="4" t="s">
        <v>41</v>
      </c>
      <c r="B100" s="6">
        <v>418487924.59999996</v>
      </c>
    </row>
    <row r="101" spans="1:2" x14ac:dyDescent="0.25">
      <c r="A101" s="4" t="s">
        <v>108</v>
      </c>
      <c r="B101" s="6">
        <v>153903448.84999999</v>
      </c>
    </row>
    <row r="102" spans="1:2" x14ac:dyDescent="0.25">
      <c r="A102" s="4" t="s">
        <v>248</v>
      </c>
      <c r="B102" s="6">
        <v>587596190.85000002</v>
      </c>
    </row>
    <row r="103" spans="1:2" x14ac:dyDescent="0.25">
      <c r="A103" s="4" t="s">
        <v>244</v>
      </c>
      <c r="B103" s="6">
        <v>1205184644.0999999</v>
      </c>
    </row>
    <row r="104" spans="1:2" x14ac:dyDescent="0.25">
      <c r="A104" s="4" t="s">
        <v>268</v>
      </c>
      <c r="B104" s="6">
        <v>1019421642.6600001</v>
      </c>
    </row>
    <row r="105" spans="1:2" x14ac:dyDescent="0.25">
      <c r="A105" s="4" t="s">
        <v>270</v>
      </c>
      <c r="B105" s="6">
        <v>669339006.96000004</v>
      </c>
    </row>
    <row r="106" spans="1:2" x14ac:dyDescent="0.25">
      <c r="A106" s="4" t="s">
        <v>252</v>
      </c>
      <c r="B106" s="6">
        <v>823677567.71000004</v>
      </c>
    </row>
    <row r="107" spans="1:2" x14ac:dyDescent="0.25">
      <c r="A107" s="4" t="s">
        <v>286</v>
      </c>
      <c r="B107" s="6">
        <v>1396556385.5999999</v>
      </c>
    </row>
    <row r="108" spans="1:2" x14ac:dyDescent="0.25">
      <c r="A108" s="4" t="s">
        <v>255</v>
      </c>
      <c r="B108" s="6">
        <v>633754134.51999986</v>
      </c>
    </row>
    <row r="109" spans="1:2" x14ac:dyDescent="0.25">
      <c r="A109" s="4" t="s">
        <v>257</v>
      </c>
      <c r="B109" s="6">
        <v>1483149354.9400001</v>
      </c>
    </row>
    <row r="110" spans="1:2" x14ac:dyDescent="0.25">
      <c r="A110" s="4" t="s">
        <v>276</v>
      </c>
      <c r="B110" s="6">
        <v>952592864.92000008</v>
      </c>
    </row>
    <row r="111" spans="1:2" x14ac:dyDescent="0.25">
      <c r="A111" s="4" t="s">
        <v>247</v>
      </c>
      <c r="B111" s="6">
        <v>1121059964.3199999</v>
      </c>
    </row>
    <row r="112" spans="1:2" x14ac:dyDescent="0.25">
      <c r="A112" s="4" t="s">
        <v>275</v>
      </c>
      <c r="B112" s="6">
        <v>1151854159.23</v>
      </c>
    </row>
    <row r="113" spans="1:2" x14ac:dyDescent="0.25">
      <c r="A113" s="4" t="s">
        <v>259</v>
      </c>
      <c r="B113" s="6">
        <v>1107593364.0500002</v>
      </c>
    </row>
    <row r="114" spans="1:2" x14ac:dyDescent="0.25">
      <c r="A114" s="4" t="s">
        <v>280</v>
      </c>
      <c r="B114" s="6">
        <v>1139699256.1799998</v>
      </c>
    </row>
    <row r="115" spans="1:2" x14ac:dyDescent="0.25">
      <c r="A115" s="4" t="s">
        <v>281</v>
      </c>
      <c r="B115" s="6">
        <v>1196885695.6500001</v>
      </c>
    </row>
    <row r="116" spans="1:2" x14ac:dyDescent="0.25">
      <c r="A116" s="4" t="s">
        <v>278</v>
      </c>
      <c r="B116" s="6">
        <v>2463452986.9400005</v>
      </c>
    </row>
    <row r="117" spans="1:2" x14ac:dyDescent="0.25">
      <c r="A117" s="4" t="s">
        <v>262</v>
      </c>
      <c r="B117" s="6">
        <v>1141997473.21</v>
      </c>
    </row>
    <row r="118" spans="1:2" x14ac:dyDescent="0.25">
      <c r="A118" s="4" t="s">
        <v>263</v>
      </c>
      <c r="B118" s="6">
        <v>902393577.46999991</v>
      </c>
    </row>
    <row r="119" spans="1:2" x14ac:dyDescent="0.25">
      <c r="A119" s="4" t="s">
        <v>288</v>
      </c>
      <c r="B119" s="6">
        <v>387690775.30999994</v>
      </c>
    </row>
    <row r="120" spans="1:2" x14ac:dyDescent="0.25">
      <c r="A120" s="4" t="s">
        <v>289</v>
      </c>
      <c r="B120" s="6">
        <v>440401522.94</v>
      </c>
    </row>
    <row r="121" spans="1:2" x14ac:dyDescent="0.25">
      <c r="A121" s="4" t="s">
        <v>261</v>
      </c>
      <c r="B121" s="6">
        <v>149353584.32000002</v>
      </c>
    </row>
    <row r="122" spans="1:2" x14ac:dyDescent="0.25">
      <c r="A122" s="4" t="s">
        <v>107</v>
      </c>
      <c r="B122" s="6">
        <v>228270375.08000001</v>
      </c>
    </row>
    <row r="123" spans="1:2" x14ac:dyDescent="0.25">
      <c r="A123" s="4" t="s">
        <v>250</v>
      </c>
      <c r="B123" s="6">
        <v>485530199.88999999</v>
      </c>
    </row>
    <row r="124" spans="1:2" x14ac:dyDescent="0.25">
      <c r="A124" s="4" t="s">
        <v>287</v>
      </c>
      <c r="B124" s="6">
        <v>157645857.41</v>
      </c>
    </row>
    <row r="125" spans="1:2" x14ac:dyDescent="0.25">
      <c r="A125" s="4" t="s">
        <v>284</v>
      </c>
      <c r="B125" s="6">
        <v>325551896.63</v>
      </c>
    </row>
    <row r="126" spans="1:2" x14ac:dyDescent="0.25">
      <c r="A126" s="4" t="s">
        <v>285</v>
      </c>
      <c r="B126" s="6">
        <v>182668544.07999998</v>
      </c>
    </row>
    <row r="127" spans="1:2" x14ac:dyDescent="0.25">
      <c r="A127" s="4" t="s">
        <v>38</v>
      </c>
      <c r="B127" s="6">
        <v>249097872.81000003</v>
      </c>
    </row>
    <row r="128" spans="1:2" x14ac:dyDescent="0.25">
      <c r="A128" s="4" t="s">
        <v>39</v>
      </c>
      <c r="B128" s="6">
        <v>302126968.97999996</v>
      </c>
    </row>
    <row r="129" spans="1:2" x14ac:dyDescent="0.25">
      <c r="A129" s="4" t="s">
        <v>291</v>
      </c>
      <c r="B129" s="6">
        <v>594479487.67999995</v>
      </c>
    </row>
    <row r="130" spans="1:2" x14ac:dyDescent="0.25">
      <c r="A130" s="4" t="s">
        <v>249</v>
      </c>
      <c r="B130" s="6">
        <v>154568886.06</v>
      </c>
    </row>
    <row r="131" spans="1:2" x14ac:dyDescent="0.25">
      <c r="A131" s="4" t="s">
        <v>253</v>
      </c>
      <c r="B131" s="6">
        <v>143521384.47999999</v>
      </c>
    </row>
    <row r="132" spans="1:2" x14ac:dyDescent="0.25">
      <c r="A132" s="4" t="s">
        <v>264</v>
      </c>
      <c r="B132" s="6">
        <v>872332998.19000006</v>
      </c>
    </row>
    <row r="133" spans="1:2" x14ac:dyDescent="0.25">
      <c r="A133" s="4" t="s">
        <v>256</v>
      </c>
      <c r="B133" s="6">
        <v>251207685.03</v>
      </c>
    </row>
    <row r="134" spans="1:2" x14ac:dyDescent="0.25">
      <c r="A134" s="4" t="s">
        <v>290</v>
      </c>
      <c r="B134" s="6">
        <v>192795427.95999998</v>
      </c>
    </row>
    <row r="135" spans="1:2" x14ac:dyDescent="0.25">
      <c r="A135" s="4" t="s">
        <v>105</v>
      </c>
      <c r="B135" s="6">
        <v>218082869.95000002</v>
      </c>
    </row>
    <row r="136" spans="1:2" x14ac:dyDescent="0.25">
      <c r="A136" s="4" t="s">
        <v>246</v>
      </c>
      <c r="B136" s="6">
        <v>100922939.26000001</v>
      </c>
    </row>
    <row r="137" spans="1:2" x14ac:dyDescent="0.25">
      <c r="A137" s="4" t="s">
        <v>95</v>
      </c>
      <c r="B137" s="6">
        <v>176604885.13999996</v>
      </c>
    </row>
    <row r="138" spans="1:2" x14ac:dyDescent="0.25">
      <c r="A138" s="4" t="s">
        <v>271</v>
      </c>
      <c r="B138" s="6">
        <v>356766731.50999999</v>
      </c>
    </row>
    <row r="139" spans="1:2" x14ac:dyDescent="0.25">
      <c r="A139" s="4" t="s">
        <v>90</v>
      </c>
      <c r="B139" s="6">
        <v>516795529.94999993</v>
      </c>
    </row>
    <row r="140" spans="1:2" x14ac:dyDescent="0.25">
      <c r="A140" s="4" t="s">
        <v>89</v>
      </c>
      <c r="B140" s="6">
        <v>1171755341.48</v>
      </c>
    </row>
    <row r="141" spans="1:2" x14ac:dyDescent="0.25">
      <c r="A141" s="4" t="s">
        <v>91</v>
      </c>
      <c r="B141" s="6">
        <v>585829979.36000001</v>
      </c>
    </row>
    <row r="142" spans="1:2" x14ac:dyDescent="0.25">
      <c r="A142" s="4" t="s">
        <v>279</v>
      </c>
      <c r="B142" s="6">
        <v>377394355.88</v>
      </c>
    </row>
    <row r="143" spans="1:2" x14ac:dyDescent="0.25">
      <c r="A143" s="4" t="s">
        <v>99</v>
      </c>
      <c r="B143" s="6">
        <v>930043181.45000005</v>
      </c>
    </row>
    <row r="144" spans="1:2" x14ac:dyDescent="0.25">
      <c r="A144" s="4" t="s">
        <v>101</v>
      </c>
      <c r="B144" s="6">
        <v>232597699.87</v>
      </c>
    </row>
    <row r="145" spans="1:2" x14ac:dyDescent="0.25">
      <c r="A145" s="4" t="s">
        <v>103</v>
      </c>
      <c r="B145" s="6">
        <v>536254342.12999994</v>
      </c>
    </row>
    <row r="146" spans="1:2" x14ac:dyDescent="0.25">
      <c r="A146" s="4" t="s">
        <v>258</v>
      </c>
      <c r="B146" s="6">
        <v>280064691.04000002</v>
      </c>
    </row>
    <row r="147" spans="1:2" x14ac:dyDescent="0.25">
      <c r="A147" s="4" t="s">
        <v>94</v>
      </c>
      <c r="B147" s="6">
        <v>515867444.03999996</v>
      </c>
    </row>
    <row r="148" spans="1:2" x14ac:dyDescent="0.25">
      <c r="A148" s="4" t="s">
        <v>106</v>
      </c>
      <c r="B148" s="6">
        <v>481285793.20000005</v>
      </c>
    </row>
    <row r="149" spans="1:2" x14ac:dyDescent="0.25">
      <c r="A149" s="4" t="s">
        <v>97</v>
      </c>
      <c r="B149" s="6">
        <v>419236541.63999999</v>
      </c>
    </row>
    <row r="150" spans="1:2" x14ac:dyDescent="0.25">
      <c r="A150" s="4" t="s">
        <v>96</v>
      </c>
      <c r="B150" s="6">
        <v>514078092.97999996</v>
      </c>
    </row>
    <row r="151" spans="1:2" x14ac:dyDescent="0.25">
      <c r="A151" s="4" t="s">
        <v>265</v>
      </c>
      <c r="B151" s="6">
        <v>574167456.71000004</v>
      </c>
    </row>
    <row r="152" spans="1:2" x14ac:dyDescent="0.25">
      <c r="A152" s="4" t="s">
        <v>104</v>
      </c>
      <c r="B152" s="6">
        <v>583417160.67999995</v>
      </c>
    </row>
    <row r="153" spans="1:2" x14ac:dyDescent="0.25">
      <c r="A153" s="4" t="s">
        <v>93</v>
      </c>
      <c r="B153" s="6">
        <v>106371659.03</v>
      </c>
    </row>
    <row r="154" spans="1:2" x14ac:dyDescent="0.25">
      <c r="A154" s="4" t="s">
        <v>98</v>
      </c>
      <c r="B154" s="6">
        <v>220752708.23000002</v>
      </c>
    </row>
    <row r="155" spans="1:2" x14ac:dyDescent="0.25">
      <c r="A155" s="4" t="s">
        <v>102</v>
      </c>
      <c r="B155" s="6">
        <v>130140253.77</v>
      </c>
    </row>
    <row r="156" spans="1:2" x14ac:dyDescent="0.25">
      <c r="A156" s="4" t="s">
        <v>195</v>
      </c>
      <c r="B156" s="6">
        <v>154470300.64000002</v>
      </c>
    </row>
    <row r="157" spans="1:2" x14ac:dyDescent="0.25">
      <c r="A157" s="4" t="s">
        <v>73</v>
      </c>
      <c r="B157" s="6">
        <v>2704594363.96</v>
      </c>
    </row>
    <row r="158" spans="1:2" x14ac:dyDescent="0.25">
      <c r="A158" s="4" t="s">
        <v>79</v>
      </c>
      <c r="B158" s="6">
        <v>75275162.969999999</v>
      </c>
    </row>
    <row r="159" spans="1:2" x14ac:dyDescent="0.25">
      <c r="A159" s="4" t="s">
        <v>145</v>
      </c>
      <c r="B159" s="6">
        <v>1019236882.98</v>
      </c>
    </row>
    <row r="160" spans="1:2" x14ac:dyDescent="0.25">
      <c r="A160" s="4" t="s">
        <v>136</v>
      </c>
      <c r="B160" s="6">
        <v>36438950134.209999</v>
      </c>
    </row>
    <row r="161" spans="1:2" x14ac:dyDescent="0.25">
      <c r="A161" s="4" t="s">
        <v>92</v>
      </c>
      <c r="B161" s="6">
        <v>172594267.10999998</v>
      </c>
    </row>
    <row r="162" spans="1:2" x14ac:dyDescent="0.25">
      <c r="A162" s="4" t="s">
        <v>277</v>
      </c>
      <c r="B162" s="6">
        <v>201127882.13000003</v>
      </c>
    </row>
    <row r="163" spans="1:2" x14ac:dyDescent="0.25">
      <c r="A163" s="4" t="s">
        <v>100</v>
      </c>
      <c r="B163" s="6">
        <v>194534474.90000001</v>
      </c>
    </row>
    <row r="164" spans="1:2" x14ac:dyDescent="0.25">
      <c r="A164" s="4" t="s">
        <v>158</v>
      </c>
      <c r="B164" s="6">
        <v>226334873.13</v>
      </c>
    </row>
    <row r="165" spans="1:2" x14ac:dyDescent="0.25">
      <c r="A165" s="4" t="s">
        <v>170</v>
      </c>
      <c r="B165" s="6">
        <v>237980829.35000002</v>
      </c>
    </row>
    <row r="166" spans="1:2" x14ac:dyDescent="0.25">
      <c r="A166" s="4" t="s">
        <v>154</v>
      </c>
      <c r="B166" s="6">
        <v>211339136.27000001</v>
      </c>
    </row>
    <row r="167" spans="1:2" x14ac:dyDescent="0.25">
      <c r="A167" s="4" t="s">
        <v>171</v>
      </c>
      <c r="B167" s="6">
        <v>495589399.22999996</v>
      </c>
    </row>
    <row r="168" spans="1:2" x14ac:dyDescent="0.25">
      <c r="A168" s="4" t="s">
        <v>172</v>
      </c>
      <c r="B168" s="6">
        <v>460795828.16000003</v>
      </c>
    </row>
    <row r="169" spans="1:2" x14ac:dyDescent="0.25">
      <c r="A169" s="4" t="s">
        <v>190</v>
      </c>
      <c r="B169" s="6">
        <v>209126482.04999998</v>
      </c>
    </row>
    <row r="170" spans="1:2" x14ac:dyDescent="0.25">
      <c r="A170" s="4" t="s">
        <v>173</v>
      </c>
      <c r="B170" s="6">
        <v>447378140.39000005</v>
      </c>
    </row>
    <row r="171" spans="1:2" x14ac:dyDescent="0.25">
      <c r="A171" s="4" t="s">
        <v>161</v>
      </c>
      <c r="B171" s="6">
        <v>269705016.70999998</v>
      </c>
    </row>
    <row r="172" spans="1:2" x14ac:dyDescent="0.25">
      <c r="A172" s="4" t="s">
        <v>176</v>
      </c>
      <c r="B172" s="6">
        <v>175568179.94000003</v>
      </c>
    </row>
    <row r="173" spans="1:2" x14ac:dyDescent="0.25">
      <c r="A173" s="4" t="s">
        <v>184</v>
      </c>
      <c r="B173" s="6">
        <v>187358525.84</v>
      </c>
    </row>
    <row r="174" spans="1:2" x14ac:dyDescent="0.25">
      <c r="A174" s="4" t="s">
        <v>185</v>
      </c>
      <c r="B174" s="6">
        <v>176774292.09</v>
      </c>
    </row>
    <row r="175" spans="1:2" x14ac:dyDescent="0.25">
      <c r="A175" s="4" t="s">
        <v>187</v>
      </c>
      <c r="B175" s="6">
        <v>154465074.44</v>
      </c>
    </row>
    <row r="176" spans="1:2" x14ac:dyDescent="0.25">
      <c r="A176" s="4" t="s">
        <v>174</v>
      </c>
      <c r="B176" s="6">
        <v>305267552.66999996</v>
      </c>
    </row>
    <row r="177" spans="1:2" x14ac:dyDescent="0.25">
      <c r="A177" s="4" t="s">
        <v>175</v>
      </c>
      <c r="B177" s="6">
        <v>138678439.41999999</v>
      </c>
    </row>
    <row r="178" spans="1:2" x14ac:dyDescent="0.25">
      <c r="A178" s="4" t="s">
        <v>178</v>
      </c>
      <c r="B178" s="6">
        <v>328295704.81999999</v>
      </c>
    </row>
    <row r="179" spans="1:2" x14ac:dyDescent="0.25">
      <c r="A179" s="4" t="s">
        <v>157</v>
      </c>
      <c r="B179" s="6">
        <v>354189100.77000004</v>
      </c>
    </row>
    <row r="180" spans="1:2" x14ac:dyDescent="0.25">
      <c r="A180" s="4" t="s">
        <v>162</v>
      </c>
      <c r="B180" s="6">
        <v>353343732.38999999</v>
      </c>
    </row>
    <row r="181" spans="1:2" x14ac:dyDescent="0.25">
      <c r="A181" s="4" t="s">
        <v>182</v>
      </c>
      <c r="B181" s="6">
        <v>296171743.69</v>
      </c>
    </row>
    <row r="182" spans="1:2" x14ac:dyDescent="0.25">
      <c r="A182" s="4" t="s">
        <v>188</v>
      </c>
      <c r="B182" s="6">
        <v>196384261.18000001</v>
      </c>
    </row>
    <row r="183" spans="1:2" x14ac:dyDescent="0.25">
      <c r="A183" s="4" t="s">
        <v>163</v>
      </c>
      <c r="B183" s="6">
        <v>148364089.91</v>
      </c>
    </row>
    <row r="184" spans="1:2" x14ac:dyDescent="0.25">
      <c r="A184" s="4" t="s">
        <v>155</v>
      </c>
      <c r="B184" s="6">
        <v>236585170.09000003</v>
      </c>
    </row>
    <row r="185" spans="1:2" x14ac:dyDescent="0.25">
      <c r="A185" s="4" t="s">
        <v>166</v>
      </c>
      <c r="B185" s="6">
        <v>174000815.17000002</v>
      </c>
    </row>
    <row r="186" spans="1:2" x14ac:dyDescent="0.25">
      <c r="A186" s="4" t="s">
        <v>186</v>
      </c>
      <c r="B186" s="6">
        <v>156555590.55000001</v>
      </c>
    </row>
    <row r="187" spans="1:2" x14ac:dyDescent="0.25">
      <c r="A187" s="4" t="s">
        <v>168</v>
      </c>
      <c r="B187" s="6">
        <v>79524158.069999993</v>
      </c>
    </row>
    <row r="188" spans="1:2" x14ac:dyDescent="0.25">
      <c r="A188" s="4" t="s">
        <v>169</v>
      </c>
      <c r="B188" s="6">
        <v>64288181.170000002</v>
      </c>
    </row>
    <row r="189" spans="1:2" x14ac:dyDescent="0.25">
      <c r="A189" s="4" t="s">
        <v>156</v>
      </c>
      <c r="B189" s="6">
        <v>385024040.71000004</v>
      </c>
    </row>
    <row r="190" spans="1:2" x14ac:dyDescent="0.25">
      <c r="A190" s="4" t="s">
        <v>159</v>
      </c>
      <c r="B190" s="6">
        <v>160275774.53999999</v>
      </c>
    </row>
    <row r="191" spans="1:2" x14ac:dyDescent="0.25">
      <c r="A191" s="4" t="s">
        <v>160</v>
      </c>
      <c r="B191" s="6">
        <v>296979036.02999997</v>
      </c>
    </row>
    <row r="192" spans="1:2" x14ac:dyDescent="0.25">
      <c r="A192" s="4" t="s">
        <v>183</v>
      </c>
      <c r="B192" s="6">
        <v>122180269.23999999</v>
      </c>
    </row>
    <row r="193" spans="1:2" x14ac:dyDescent="0.25">
      <c r="A193" s="4" t="s">
        <v>179</v>
      </c>
      <c r="B193" s="6">
        <v>308745009.88999999</v>
      </c>
    </row>
    <row r="194" spans="1:2" x14ac:dyDescent="0.25">
      <c r="A194" s="4" t="s">
        <v>177</v>
      </c>
      <c r="B194" s="6">
        <v>290779852.56</v>
      </c>
    </row>
    <row r="195" spans="1:2" x14ac:dyDescent="0.25">
      <c r="A195" s="4" t="s">
        <v>180</v>
      </c>
      <c r="B195" s="6">
        <v>272232699.04000002</v>
      </c>
    </row>
    <row r="196" spans="1:2" x14ac:dyDescent="0.25">
      <c r="A196" s="4" t="s">
        <v>189</v>
      </c>
      <c r="B196" s="6">
        <v>262271759.96999997</v>
      </c>
    </row>
    <row r="197" spans="1:2" x14ac:dyDescent="0.25">
      <c r="A197" s="4" t="s">
        <v>181</v>
      </c>
      <c r="B197" s="6">
        <v>390205445.65999997</v>
      </c>
    </row>
    <row r="198" spans="1:2" x14ac:dyDescent="0.25">
      <c r="A198" s="4" t="s">
        <v>191</v>
      </c>
      <c r="B198" s="6">
        <v>289996174.49000001</v>
      </c>
    </row>
    <row r="199" spans="1:2" x14ac:dyDescent="0.25">
      <c r="A199" s="4" t="s">
        <v>164</v>
      </c>
      <c r="B199" s="6">
        <v>86964543.469999984</v>
      </c>
    </row>
    <row r="200" spans="1:2" x14ac:dyDescent="0.25">
      <c r="A200" s="4" t="s">
        <v>165</v>
      </c>
      <c r="B200" s="6">
        <v>368225831.05000001</v>
      </c>
    </row>
    <row r="201" spans="1:2" x14ac:dyDescent="0.25">
      <c r="A201" s="4" t="s">
        <v>167</v>
      </c>
      <c r="B201" s="6">
        <v>606537540.8599999</v>
      </c>
    </row>
    <row r="202" spans="1:2" x14ac:dyDescent="0.25">
      <c r="A202" s="4" t="s">
        <v>245</v>
      </c>
      <c r="B202" s="6">
        <v>173778328.09999999</v>
      </c>
    </row>
    <row r="203" spans="1:2" x14ac:dyDescent="0.25">
      <c r="A203" s="4" t="s">
        <v>274</v>
      </c>
      <c r="B203" s="6">
        <v>125771940.24000001</v>
      </c>
    </row>
    <row r="204" spans="1:2" x14ac:dyDescent="0.25">
      <c r="A204" s="4" t="s">
        <v>243</v>
      </c>
      <c r="B204" s="6">
        <v>95669406.38000001</v>
      </c>
    </row>
    <row r="205" spans="1:2" x14ac:dyDescent="0.25">
      <c r="A205" s="4" t="s">
        <v>65</v>
      </c>
      <c r="B205" s="6">
        <v>5204647700.75</v>
      </c>
    </row>
    <row r="206" spans="1:2" x14ac:dyDescent="0.25">
      <c r="A206" s="4" t="s">
        <v>273</v>
      </c>
      <c r="B206" s="6">
        <v>70414330.729999989</v>
      </c>
    </row>
    <row r="207" spans="1:2" x14ac:dyDescent="0.25">
      <c r="A207" s="4" t="s">
        <v>283</v>
      </c>
      <c r="B207" s="6">
        <v>91671627.060000002</v>
      </c>
    </row>
    <row r="208" spans="1:2" x14ac:dyDescent="0.25">
      <c r="A208" s="4" t="s">
        <v>267</v>
      </c>
      <c r="B208" s="6">
        <v>77246361.120000005</v>
      </c>
    </row>
    <row r="209" spans="1:2" x14ac:dyDescent="0.25">
      <c r="A209" s="4" t="s">
        <v>282</v>
      </c>
      <c r="B209" s="6">
        <v>74043787.460000008</v>
      </c>
    </row>
    <row r="210" spans="1:2" x14ac:dyDescent="0.25">
      <c r="A210" s="4" t="s">
        <v>251</v>
      </c>
      <c r="B210" s="6">
        <v>65085037.24000001</v>
      </c>
    </row>
    <row r="211" spans="1:2" x14ac:dyDescent="0.25">
      <c r="A211" s="4" t="s">
        <v>254</v>
      </c>
      <c r="B211" s="6">
        <v>68957701.379999995</v>
      </c>
    </row>
    <row r="212" spans="1:2" x14ac:dyDescent="0.25">
      <c r="A212" s="4" t="s">
        <v>260</v>
      </c>
      <c r="B212" s="6">
        <v>57942611.720000006</v>
      </c>
    </row>
    <row r="213" spans="1:2" x14ac:dyDescent="0.25">
      <c r="A213" s="4" t="s">
        <v>269</v>
      </c>
      <c r="B213" s="6">
        <v>45182433.060000002</v>
      </c>
    </row>
    <row r="214" spans="1:2" x14ac:dyDescent="0.25">
      <c r="A214" s="4" t="s">
        <v>266</v>
      </c>
      <c r="B214" s="6">
        <v>33562211.920000002</v>
      </c>
    </row>
    <row r="215" spans="1:2" x14ac:dyDescent="0.25">
      <c r="A215" s="4" t="s">
        <v>272</v>
      </c>
      <c r="B215" s="6">
        <v>2407994.0599999996</v>
      </c>
    </row>
    <row r="216" spans="1:2" x14ac:dyDescent="0.25">
      <c r="A216" s="4" t="s">
        <v>222</v>
      </c>
      <c r="B216" s="6">
        <v>930249160.41999996</v>
      </c>
    </row>
    <row r="217" spans="1:2" x14ac:dyDescent="0.25">
      <c r="A217" s="4" t="s">
        <v>67</v>
      </c>
      <c r="B217" s="6">
        <v>201477984.75999996</v>
      </c>
    </row>
    <row r="218" spans="1:2" x14ac:dyDescent="0.25">
      <c r="A218" s="4" t="s">
        <v>52</v>
      </c>
      <c r="B218" s="6">
        <v>310362614.14000005</v>
      </c>
    </row>
    <row r="219" spans="1:2" x14ac:dyDescent="0.25">
      <c r="A219" s="4" t="s">
        <v>292</v>
      </c>
      <c r="B219" s="6">
        <v>110760934.52</v>
      </c>
    </row>
    <row r="220" spans="1:2" x14ac:dyDescent="0.25">
      <c r="A220" s="4" t="s">
        <v>49</v>
      </c>
      <c r="B220" s="6">
        <v>669430065.17000008</v>
      </c>
    </row>
    <row r="221" spans="1:2" x14ac:dyDescent="0.25">
      <c r="A221" s="4" t="s">
        <v>209</v>
      </c>
      <c r="B221" s="6">
        <v>398528741.65999997</v>
      </c>
    </row>
    <row r="222" spans="1:2" x14ac:dyDescent="0.25">
      <c r="A222" s="4" t="s">
        <v>232</v>
      </c>
      <c r="B222" s="6">
        <v>4910427968.6800003</v>
      </c>
    </row>
    <row r="223" spans="1:2" x14ac:dyDescent="0.25">
      <c r="A223" s="4" t="s">
        <v>85</v>
      </c>
      <c r="B223" s="6">
        <v>329572180.54000002</v>
      </c>
    </row>
    <row r="224" spans="1:2" x14ac:dyDescent="0.25">
      <c r="A224" s="4" t="s">
        <v>196</v>
      </c>
      <c r="B224" s="6">
        <v>476471021.25000012</v>
      </c>
    </row>
    <row r="225" spans="1:2" x14ac:dyDescent="0.25">
      <c r="A225" s="4" t="s">
        <v>193</v>
      </c>
      <c r="B225" s="6">
        <v>211229719.84</v>
      </c>
    </row>
    <row r="226" spans="1:2" x14ac:dyDescent="0.25">
      <c r="A226" s="4" t="s">
        <v>86</v>
      </c>
      <c r="B226" s="6">
        <v>2573370.75</v>
      </c>
    </row>
    <row r="227" spans="1:2" x14ac:dyDescent="0.25">
      <c r="A227" s="4" t="s">
        <v>55</v>
      </c>
      <c r="B227" s="6">
        <v>27999423.489999995</v>
      </c>
    </row>
    <row r="228" spans="1:2" x14ac:dyDescent="0.25">
      <c r="A228" s="4" t="s">
        <v>32</v>
      </c>
      <c r="B228" s="6">
        <v>1349603.3299999998</v>
      </c>
    </row>
    <row r="229" spans="1:2" x14ac:dyDescent="0.25">
      <c r="A229" s="4" t="s">
        <v>233</v>
      </c>
      <c r="B229" s="6">
        <v>3270821084.6599998</v>
      </c>
    </row>
    <row r="230" spans="1:2" x14ac:dyDescent="0.25">
      <c r="A230" s="4" t="s">
        <v>117</v>
      </c>
      <c r="B230" s="6">
        <v>0</v>
      </c>
    </row>
    <row r="231" spans="1:2" x14ac:dyDescent="0.25">
      <c r="A231" s="4" t="s">
        <v>143</v>
      </c>
      <c r="B231" s="6">
        <v>61670459.25999999</v>
      </c>
    </row>
    <row r="232" spans="1:2" x14ac:dyDescent="0.25">
      <c r="A232" s="4" t="s">
        <v>138</v>
      </c>
      <c r="B232" s="6">
        <v>783270401.88999999</v>
      </c>
    </row>
    <row r="233" spans="1:2" x14ac:dyDescent="0.25">
      <c r="A233" s="4" t="s">
        <v>129</v>
      </c>
      <c r="B233" s="6">
        <v>805478.56</v>
      </c>
    </row>
    <row r="234" spans="1:2" x14ac:dyDescent="0.25">
      <c r="A234" s="4" t="s">
        <v>141</v>
      </c>
      <c r="B234" s="6">
        <v>0</v>
      </c>
    </row>
    <row r="235" spans="1:2" x14ac:dyDescent="0.25">
      <c r="A235" s="4" t="s">
        <v>35</v>
      </c>
      <c r="B235" s="6">
        <v>70972680.729999989</v>
      </c>
    </row>
    <row r="236" spans="1:2" x14ac:dyDescent="0.25">
      <c r="A236" s="4" t="s">
        <v>219</v>
      </c>
      <c r="B236" s="6">
        <v>190495510.96000001</v>
      </c>
    </row>
    <row r="237" spans="1:2" x14ac:dyDescent="0.25">
      <c r="A237" s="4" t="s">
        <v>26</v>
      </c>
      <c r="B237" s="6">
        <v>28817694892.450001</v>
      </c>
    </row>
    <row r="238" spans="1:2" x14ac:dyDescent="0.25">
      <c r="A238" s="4" t="s">
        <v>14</v>
      </c>
      <c r="B238" s="6">
        <v>3015368260.27</v>
      </c>
    </row>
    <row r="239" spans="1:2" x14ac:dyDescent="0.25">
      <c r="A239" s="4" t="s">
        <v>66</v>
      </c>
      <c r="B239" s="6">
        <v>68567443.480000004</v>
      </c>
    </row>
    <row r="240" spans="1:2" x14ac:dyDescent="0.25">
      <c r="A240" s="4" t="s">
        <v>15</v>
      </c>
      <c r="B240" s="6">
        <v>2280846810.5399995</v>
      </c>
    </row>
    <row r="241" spans="1:2" x14ac:dyDescent="0.25">
      <c r="A241" s="4" t="s">
        <v>212</v>
      </c>
      <c r="B241" s="6">
        <v>1837713.76</v>
      </c>
    </row>
    <row r="242" spans="1:2" x14ac:dyDescent="0.25">
      <c r="A242" s="4" t="s">
        <v>241</v>
      </c>
      <c r="B242" s="6">
        <v>20202514.270000003</v>
      </c>
    </row>
    <row r="243" spans="1:2" x14ac:dyDescent="0.25">
      <c r="A243" s="4" t="s">
        <v>133</v>
      </c>
      <c r="B243" s="6">
        <v>0</v>
      </c>
    </row>
    <row r="244" spans="1:2" x14ac:dyDescent="0.25">
      <c r="A244" s="4" t="s">
        <v>218</v>
      </c>
      <c r="B244" s="6">
        <v>2504728943.7999997</v>
      </c>
    </row>
    <row r="245" spans="1:2" x14ac:dyDescent="0.25">
      <c r="A245" s="4" t="s">
        <v>70</v>
      </c>
      <c r="B245" s="6">
        <v>7359562.7000000002</v>
      </c>
    </row>
    <row r="246" spans="1:2" x14ac:dyDescent="0.25">
      <c r="A246" s="4" t="s">
        <v>213</v>
      </c>
      <c r="B246" s="6">
        <v>92367608593.189987</v>
      </c>
    </row>
    <row r="247" spans="1:2" x14ac:dyDescent="0.25">
      <c r="A247" s="4" t="s">
        <v>87</v>
      </c>
      <c r="B247" s="6">
        <v>4714768495.3800001</v>
      </c>
    </row>
    <row r="248" spans="1:2" x14ac:dyDescent="0.25">
      <c r="A248" s="4" t="s">
        <v>146</v>
      </c>
      <c r="B248" s="6">
        <v>1010850214.9300001</v>
      </c>
    </row>
    <row r="249" spans="1:2" x14ac:dyDescent="0.25">
      <c r="A249" s="4" t="s">
        <v>83</v>
      </c>
      <c r="B249" s="6">
        <v>975139626.7299999</v>
      </c>
    </row>
    <row r="250" spans="1:2" x14ac:dyDescent="0.25">
      <c r="A250" s="4" t="s">
        <v>21</v>
      </c>
      <c r="B250" s="6">
        <v>429525429.60999995</v>
      </c>
    </row>
    <row r="251" spans="1:2" x14ac:dyDescent="0.25">
      <c r="A251" s="4" t="s">
        <v>17</v>
      </c>
      <c r="B251" s="6">
        <v>162743747.28</v>
      </c>
    </row>
    <row r="252" spans="1:2" x14ac:dyDescent="0.25">
      <c r="A252" s="4" t="s">
        <v>58</v>
      </c>
      <c r="B252" s="6">
        <v>699159354.56999993</v>
      </c>
    </row>
    <row r="253" spans="1:2" x14ac:dyDescent="0.25">
      <c r="A253" s="4" t="s">
        <v>81</v>
      </c>
      <c r="B253" s="6">
        <v>54353690.210000008</v>
      </c>
    </row>
    <row r="254" spans="1:2" x14ac:dyDescent="0.25">
      <c r="A254" s="4" t="s">
        <v>198</v>
      </c>
      <c r="B254" s="6">
        <v>58650299906.429993</v>
      </c>
    </row>
    <row r="255" spans="1:2" x14ac:dyDescent="0.25">
      <c r="A255" s="4" t="s">
        <v>126</v>
      </c>
      <c r="B255" s="6">
        <v>517989742585.3501</v>
      </c>
    </row>
    <row r="256" spans="1:2" x14ac:dyDescent="0.25">
      <c r="A256" s="4" t="s">
        <v>114</v>
      </c>
      <c r="B256" s="6">
        <v>67058736510.030006</v>
      </c>
    </row>
    <row r="257" spans="1:2" x14ac:dyDescent="0.25">
      <c r="A257" s="4" t="s">
        <v>230</v>
      </c>
      <c r="B257" s="6">
        <v>184060727.44</v>
      </c>
    </row>
    <row r="258" spans="1:2" x14ac:dyDescent="0.25">
      <c r="A258" s="4" t="s">
        <v>20</v>
      </c>
      <c r="B258" s="6">
        <v>285510109.20000005</v>
      </c>
    </row>
    <row r="259" spans="1:2" x14ac:dyDescent="0.25">
      <c r="A259" s="4" t="s">
        <v>59</v>
      </c>
      <c r="B259" s="6">
        <v>4569542365.2200012</v>
      </c>
    </row>
    <row r="260" spans="1:2" x14ac:dyDescent="0.25">
      <c r="A260" s="4" t="s">
        <v>227</v>
      </c>
      <c r="B260" s="6">
        <v>2080630703.8199999</v>
      </c>
    </row>
    <row r="261" spans="1:2" x14ac:dyDescent="0.25">
      <c r="A261" s="4" t="s">
        <v>215</v>
      </c>
      <c r="B261" s="6">
        <v>76662144.069999993</v>
      </c>
    </row>
    <row r="262" spans="1:2" x14ac:dyDescent="0.25">
      <c r="A262" s="4" t="s">
        <v>28</v>
      </c>
      <c r="B262" s="6">
        <v>300680745.38999999</v>
      </c>
    </row>
    <row r="263" spans="1:2" x14ac:dyDescent="0.25">
      <c r="A263" s="4" t="s">
        <v>142</v>
      </c>
      <c r="B263" s="6">
        <v>153444919.03</v>
      </c>
    </row>
    <row r="264" spans="1:2" x14ac:dyDescent="0.25">
      <c r="A264" s="4" t="s">
        <v>201</v>
      </c>
      <c r="B264" s="6">
        <v>76836984.450000003</v>
      </c>
    </row>
    <row r="265" spans="1:2" x14ac:dyDescent="0.25">
      <c r="A265" s="4" t="s">
        <v>148</v>
      </c>
      <c r="B265" s="6">
        <v>85213416.970000014</v>
      </c>
    </row>
    <row r="266" spans="1:2" x14ac:dyDescent="0.25">
      <c r="A266" s="4" t="s">
        <v>225</v>
      </c>
      <c r="B266" s="6">
        <v>108406660.73999998</v>
      </c>
    </row>
    <row r="267" spans="1:2" x14ac:dyDescent="0.25">
      <c r="A267" s="4" t="s">
        <v>139</v>
      </c>
      <c r="B267" s="6">
        <v>11876.029999999999</v>
      </c>
    </row>
    <row r="268" spans="1:2" x14ac:dyDescent="0.25">
      <c r="A268" s="4" t="s">
        <v>23</v>
      </c>
      <c r="B268" s="6">
        <v>207262571.73000002</v>
      </c>
    </row>
    <row r="269" spans="1:2" x14ac:dyDescent="0.25">
      <c r="A269" s="4" t="s">
        <v>152</v>
      </c>
      <c r="B269" s="6">
        <v>49800725.439999998</v>
      </c>
    </row>
    <row r="270" spans="1:2" x14ac:dyDescent="0.25">
      <c r="A270" s="4" t="s">
        <v>150</v>
      </c>
      <c r="B270" s="6">
        <v>429558287.70000005</v>
      </c>
    </row>
    <row r="271" spans="1:2" x14ac:dyDescent="0.25">
      <c r="A271" s="4" t="s">
        <v>235</v>
      </c>
      <c r="B271" s="6">
        <v>2094228.7999999998</v>
      </c>
    </row>
    <row r="272" spans="1:2" x14ac:dyDescent="0.25">
      <c r="A272" s="4" t="s">
        <v>205</v>
      </c>
      <c r="B272" s="6">
        <v>19252304895.530003</v>
      </c>
    </row>
    <row r="273" spans="1:2" x14ac:dyDescent="0.25">
      <c r="A273" s="4" t="s">
        <v>226</v>
      </c>
      <c r="B273" s="6">
        <v>274528633.86000001</v>
      </c>
    </row>
    <row r="274" spans="1:2" x14ac:dyDescent="0.25">
      <c r="A274" s="4" t="s">
        <v>220</v>
      </c>
      <c r="B274" s="6">
        <v>422678257.73000002</v>
      </c>
    </row>
    <row r="275" spans="1:2" x14ac:dyDescent="0.25">
      <c r="A275" s="4" t="s">
        <v>123</v>
      </c>
      <c r="B275" s="6">
        <v>151349501.59999999</v>
      </c>
    </row>
    <row r="276" spans="1:2" x14ac:dyDescent="0.25">
      <c r="A276" s="4" t="s">
        <v>113</v>
      </c>
      <c r="B276" s="6">
        <v>314797329.43000007</v>
      </c>
    </row>
    <row r="277" spans="1:2" x14ac:dyDescent="0.25">
      <c r="A277" s="4" t="s">
        <v>224</v>
      </c>
      <c r="B277" s="6">
        <v>63102049.710000001</v>
      </c>
    </row>
    <row r="278" spans="1:2" x14ac:dyDescent="0.25">
      <c r="A278" s="4" t="s">
        <v>202</v>
      </c>
      <c r="B278" s="6">
        <v>339833130</v>
      </c>
    </row>
    <row r="279" spans="1:2" x14ac:dyDescent="0.25">
      <c r="A279" s="4" t="s">
        <v>42</v>
      </c>
      <c r="B279" s="6">
        <v>15436571983.52</v>
      </c>
    </row>
    <row r="280" spans="1:2" x14ac:dyDescent="0.25">
      <c r="A280" s="4" t="s">
        <v>44</v>
      </c>
      <c r="B280" s="6">
        <v>29493026285.779999</v>
      </c>
    </row>
    <row r="281" spans="1:2" x14ac:dyDescent="0.25">
      <c r="A281" s="4" t="s">
        <v>43</v>
      </c>
      <c r="B281" s="6">
        <v>18172827783.810001</v>
      </c>
    </row>
    <row r="282" spans="1:2" x14ac:dyDescent="0.25">
      <c r="A282" s="4" t="s">
        <v>36</v>
      </c>
      <c r="B282" s="6">
        <v>2699796.55</v>
      </c>
    </row>
    <row r="283" spans="1:2" x14ac:dyDescent="0.25">
      <c r="A283" s="4" t="s">
        <v>147</v>
      </c>
      <c r="B283" s="6">
        <v>135941164.43000001</v>
      </c>
    </row>
    <row r="284" spans="1:2" x14ac:dyDescent="0.25">
      <c r="A284" s="4" t="s">
        <v>88</v>
      </c>
      <c r="B284" s="6">
        <v>15887496.85</v>
      </c>
    </row>
    <row r="285" spans="1:2" x14ac:dyDescent="0.25">
      <c r="A285" s="4" t="s">
        <v>30</v>
      </c>
      <c r="B285" s="6">
        <v>239261338.81000003</v>
      </c>
    </row>
    <row r="286" spans="1:2" x14ac:dyDescent="0.25">
      <c r="A286" s="4" t="s">
        <v>124</v>
      </c>
      <c r="B286" s="6">
        <v>1337894159.8200002</v>
      </c>
    </row>
    <row r="287" spans="1:2" x14ac:dyDescent="0.25">
      <c r="A287" s="4" t="s">
        <v>208</v>
      </c>
      <c r="B287" s="6">
        <v>668148573.92000008</v>
      </c>
    </row>
    <row r="288" spans="1:2" x14ac:dyDescent="0.25">
      <c r="A288" s="4" t="s">
        <v>239</v>
      </c>
      <c r="B288" s="6">
        <v>20471141.16</v>
      </c>
    </row>
    <row r="289" spans="1:2" x14ac:dyDescent="0.25">
      <c r="A289" s="4" t="s">
        <v>240</v>
      </c>
      <c r="B289" s="6">
        <v>25917404.439999998</v>
      </c>
    </row>
    <row r="290" spans="1:2" x14ac:dyDescent="0.25">
      <c r="A290" s="4" t="s">
        <v>237</v>
      </c>
      <c r="B290" s="6">
        <v>13274177.82</v>
      </c>
    </row>
    <row r="291" spans="1:2" x14ac:dyDescent="0.25">
      <c r="A291" s="4" t="s">
        <v>111</v>
      </c>
      <c r="B291" s="6">
        <v>2511242574.4299998</v>
      </c>
    </row>
    <row r="292" spans="1:2" x14ac:dyDescent="0.25">
      <c r="A292" s="4" t="s">
        <v>109</v>
      </c>
      <c r="B292" s="6">
        <v>2056625890.4200001</v>
      </c>
    </row>
    <row r="293" spans="1:2" x14ac:dyDescent="0.25">
      <c r="A293" s="4" t="s">
        <v>110</v>
      </c>
      <c r="B293" s="6">
        <v>5655131444.6300001</v>
      </c>
    </row>
    <row r="294" spans="1:2" x14ac:dyDescent="0.25">
      <c r="A294" s="4" t="s">
        <v>228</v>
      </c>
      <c r="B294" s="6">
        <v>99290618.980000004</v>
      </c>
    </row>
    <row r="295" spans="1:2" x14ac:dyDescent="0.25">
      <c r="A295" s="4" t="s">
        <v>128</v>
      </c>
      <c r="B295" s="6">
        <v>245361127.24000001</v>
      </c>
    </row>
    <row r="296" spans="1:2" x14ac:dyDescent="0.25">
      <c r="A296" s="4" t="s">
        <v>221</v>
      </c>
      <c r="B296" s="6">
        <v>113078605218.64999</v>
      </c>
    </row>
    <row r="297" spans="1:2" x14ac:dyDescent="0.25">
      <c r="A297" s="4" t="s">
        <v>131</v>
      </c>
      <c r="B297" s="6">
        <v>2241214900.9299998</v>
      </c>
    </row>
    <row r="298" spans="1:2" x14ac:dyDescent="0.25">
      <c r="A298" s="4" t="s">
        <v>214</v>
      </c>
      <c r="B298" s="6">
        <v>4457775700.4499998</v>
      </c>
    </row>
    <row r="299" spans="1:2" x14ac:dyDescent="0.25">
      <c r="A299" s="4" t="s">
        <v>137</v>
      </c>
      <c r="B299" s="6">
        <v>13333.34</v>
      </c>
    </row>
    <row r="300" spans="1:2" x14ac:dyDescent="0.25">
      <c r="A300" s="4" t="s">
        <v>211</v>
      </c>
      <c r="B300" s="6">
        <v>3583748.42</v>
      </c>
    </row>
    <row r="301" spans="1:2" x14ac:dyDescent="0.25">
      <c r="A301" s="4" t="s">
        <v>144</v>
      </c>
      <c r="B301" s="6">
        <v>5347224.2499999991</v>
      </c>
    </row>
    <row r="302" spans="1:2" x14ac:dyDescent="0.25">
      <c r="A302" s="4" t="s">
        <v>151</v>
      </c>
      <c r="B302" s="6">
        <v>226223380.72999999</v>
      </c>
    </row>
    <row r="303" spans="1:2" x14ac:dyDescent="0.25">
      <c r="A303" s="4" t="s">
        <v>12</v>
      </c>
      <c r="B303" s="6">
        <v>279268104.75</v>
      </c>
    </row>
    <row r="304" spans="1:2" x14ac:dyDescent="0.25">
      <c r="A304" s="4" t="s">
        <v>132</v>
      </c>
      <c r="B304" s="6">
        <v>11850823.58</v>
      </c>
    </row>
    <row r="305" spans="1:4" x14ac:dyDescent="0.25">
      <c r="A305" s="4" t="s">
        <v>8</v>
      </c>
      <c r="B305" s="6">
        <v>2338412060.8800001</v>
      </c>
    </row>
    <row r="306" spans="1:4" x14ac:dyDescent="0.25">
      <c r="A306" s="4" t="s">
        <v>217</v>
      </c>
      <c r="B306" s="6">
        <v>666554.21</v>
      </c>
    </row>
    <row r="307" spans="1:4" x14ac:dyDescent="0.25">
      <c r="A307" s="4" t="s">
        <v>207</v>
      </c>
      <c r="B307" s="6">
        <v>690889.95</v>
      </c>
    </row>
    <row r="308" spans="1:4" x14ac:dyDescent="0.25">
      <c r="A308" s="4" t="s">
        <v>18</v>
      </c>
      <c r="B308" s="6">
        <v>86244930.660000011</v>
      </c>
    </row>
    <row r="309" spans="1:4" x14ac:dyDescent="0.25">
      <c r="A309" s="4" t="s">
        <v>119</v>
      </c>
      <c r="B309" s="6">
        <v>0</v>
      </c>
    </row>
    <row r="310" spans="1:4" x14ac:dyDescent="0.25">
      <c r="A310" s="4" t="s">
        <v>118</v>
      </c>
      <c r="B310" s="6">
        <v>0</v>
      </c>
    </row>
    <row r="311" spans="1:4" x14ac:dyDescent="0.25">
      <c r="A311" s="4" t="s">
        <v>229</v>
      </c>
      <c r="B311" s="6">
        <v>103433270.68000001</v>
      </c>
    </row>
    <row r="312" spans="1:4" x14ac:dyDescent="0.25">
      <c r="A312" s="4" t="s">
        <v>294</v>
      </c>
      <c r="B312" s="6">
        <v>2791825078557.2778</v>
      </c>
    </row>
    <row r="318" spans="1:4" x14ac:dyDescent="0.25">
      <c r="A318" s="3" t="s">
        <v>293</v>
      </c>
      <c r="B318" t="s">
        <v>304</v>
      </c>
      <c r="C318"/>
      <c r="D318"/>
    </row>
    <row r="319" spans="1:4" x14ac:dyDescent="0.25">
      <c r="A319" s="4" t="s">
        <v>295</v>
      </c>
      <c r="B319" s="6">
        <v>1754343775354.04</v>
      </c>
      <c r="C319"/>
      <c r="D319"/>
    </row>
    <row r="320" spans="1:4" x14ac:dyDescent="0.25">
      <c r="A320" s="4" t="s">
        <v>296</v>
      </c>
      <c r="B320" s="6">
        <v>143063894915.04996</v>
      </c>
      <c r="C320"/>
      <c r="D320"/>
    </row>
    <row r="321" spans="1:4" x14ac:dyDescent="0.25">
      <c r="A321" s="4" t="s">
        <v>297</v>
      </c>
      <c r="B321" s="6">
        <v>201968385732.49991</v>
      </c>
      <c r="C321"/>
      <c r="D321"/>
    </row>
    <row r="322" spans="1:4" x14ac:dyDescent="0.25">
      <c r="A322" s="4" t="s">
        <v>298</v>
      </c>
      <c r="B322" s="6">
        <v>163452791404.72</v>
      </c>
      <c r="C322"/>
      <c r="D322"/>
    </row>
    <row r="323" spans="1:4" x14ac:dyDescent="0.25">
      <c r="A323" s="4" t="s">
        <v>299</v>
      </c>
      <c r="B323" s="6">
        <v>358778113569.44995</v>
      </c>
      <c r="C323"/>
      <c r="D323"/>
    </row>
    <row r="324" spans="1:4" x14ac:dyDescent="0.25">
      <c r="A324" s="4" t="s">
        <v>300</v>
      </c>
      <c r="B324" s="6">
        <v>514378822031.20007</v>
      </c>
      <c r="C324"/>
      <c r="D324"/>
    </row>
    <row r="325" spans="1:4" x14ac:dyDescent="0.25">
      <c r="A325" s="4" t="s">
        <v>301</v>
      </c>
      <c r="B325" s="6">
        <v>317897778731.72021</v>
      </c>
      <c r="C325"/>
      <c r="D325"/>
    </row>
    <row r="326" spans="1:4" x14ac:dyDescent="0.25">
      <c r="A326" s="4" t="s">
        <v>302</v>
      </c>
      <c r="B326" s="6">
        <v>86395315254.230042</v>
      </c>
      <c r="C326"/>
      <c r="D326"/>
    </row>
    <row r="327" spans="1:4" x14ac:dyDescent="0.25">
      <c r="A327" s="4" t="s">
        <v>294</v>
      </c>
      <c r="B327" s="6">
        <v>3540278876992.9102</v>
      </c>
      <c r="C327"/>
      <c r="D327"/>
    </row>
    <row r="332" spans="1:4" x14ac:dyDescent="0.25">
      <c r="A332" s="3" t="s">
        <v>293</v>
      </c>
      <c r="B332" t="s">
        <v>303</v>
      </c>
      <c r="C332" s="7"/>
      <c r="D332" s="7"/>
    </row>
    <row r="333" spans="1:4" x14ac:dyDescent="0.25">
      <c r="A333" s="4" t="s">
        <v>295</v>
      </c>
      <c r="B333" s="6">
        <v>578376298680.67029</v>
      </c>
    </row>
    <row r="334" spans="1:4" x14ac:dyDescent="0.25">
      <c r="A334" s="4" t="s">
        <v>296</v>
      </c>
      <c r="B334" s="6">
        <v>222916699879.17001</v>
      </c>
    </row>
    <row r="335" spans="1:4" x14ac:dyDescent="0.25">
      <c r="A335" s="4" t="s">
        <v>297</v>
      </c>
      <c r="B335" s="6">
        <v>393300237918.56995</v>
      </c>
    </row>
    <row r="336" spans="1:4" x14ac:dyDescent="0.25">
      <c r="A336" s="4" t="s">
        <v>298</v>
      </c>
      <c r="B336" s="6">
        <v>230160829228.53</v>
      </c>
    </row>
    <row r="337" spans="1:11" x14ac:dyDescent="0.25">
      <c r="A337" s="4" t="s">
        <v>299</v>
      </c>
      <c r="B337" s="6">
        <v>500508737189.72998</v>
      </c>
    </row>
    <row r="338" spans="1:11" x14ac:dyDescent="0.25">
      <c r="A338" s="4" t="s">
        <v>300</v>
      </c>
      <c r="B338" s="6">
        <v>235300328057.43002</v>
      </c>
    </row>
    <row r="339" spans="1:11" x14ac:dyDescent="0.25">
      <c r="A339" s="4" t="s">
        <v>301</v>
      </c>
      <c r="B339" s="6">
        <v>497442172649.35004</v>
      </c>
    </row>
    <row r="340" spans="1:11" x14ac:dyDescent="0.25">
      <c r="A340" s="4" t="s">
        <v>302</v>
      </c>
      <c r="B340" s="6">
        <v>133819774953.82996</v>
      </c>
    </row>
    <row r="341" spans="1:11" x14ac:dyDescent="0.25">
      <c r="A341" s="4" t="s">
        <v>294</v>
      </c>
      <c r="B341" s="6">
        <v>2791825078557.2803</v>
      </c>
    </row>
    <row r="346" spans="1:11" x14ac:dyDescent="0.25">
      <c r="A346" s="3" t="s">
        <v>293</v>
      </c>
      <c r="B346" t="s">
        <v>305</v>
      </c>
      <c r="C346" s="7"/>
      <c r="D346" s="7"/>
      <c r="E346" s="3"/>
      <c r="F346" s="3"/>
      <c r="G346" s="3"/>
      <c r="H346" s="3"/>
      <c r="I346" s="3"/>
      <c r="J346" s="3"/>
      <c r="K346" s="9"/>
    </row>
    <row r="347" spans="1:11" x14ac:dyDescent="0.25">
      <c r="A347" s="4" t="s">
        <v>295</v>
      </c>
      <c r="B347" s="6">
        <v>506732497022.98004</v>
      </c>
    </row>
    <row r="348" spans="1:11" x14ac:dyDescent="0.25">
      <c r="A348" s="4" t="s">
        <v>296</v>
      </c>
      <c r="B348" s="6">
        <v>221169751959.97998</v>
      </c>
    </row>
    <row r="349" spans="1:11" x14ac:dyDescent="0.25">
      <c r="A349" s="4" t="s">
        <v>297</v>
      </c>
      <c r="B349" s="6">
        <v>392850475406.71991</v>
      </c>
    </row>
    <row r="350" spans="1:11" x14ac:dyDescent="0.25">
      <c r="A350" s="4" t="s">
        <v>298</v>
      </c>
      <c r="B350" s="6">
        <v>228961975605.13</v>
      </c>
    </row>
    <row r="351" spans="1:11" x14ac:dyDescent="0.25">
      <c r="A351" s="4" t="s">
        <v>299</v>
      </c>
      <c r="B351" s="6">
        <v>475292747498.96997</v>
      </c>
    </row>
    <row r="352" spans="1:11" x14ac:dyDescent="0.25">
      <c r="A352" s="4" t="s">
        <v>300</v>
      </c>
      <c r="B352" s="6">
        <v>226100946227.45004</v>
      </c>
    </row>
    <row r="353" spans="1:2" x14ac:dyDescent="0.25">
      <c r="A353" s="4" t="s">
        <v>301</v>
      </c>
      <c r="B353" s="6">
        <v>529455930245.26984</v>
      </c>
    </row>
    <row r="354" spans="1:2" x14ac:dyDescent="0.25">
      <c r="A354" s="4" t="s">
        <v>302</v>
      </c>
      <c r="B354" s="6">
        <v>255052558956.9201</v>
      </c>
    </row>
    <row r="355" spans="1:2" x14ac:dyDescent="0.25">
      <c r="A355" s="4" t="s">
        <v>294</v>
      </c>
      <c r="B355" s="6">
        <v>2835616882923.4199</v>
      </c>
    </row>
  </sheetData>
  <pageMargins left="0.511811024" right="0.511811024" top="0.78740157499999996" bottom="0.78740157499999996" header="0.31496062000000002" footer="0.31496062000000002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311CC-4768-418D-ADB3-392D175B6873}">
  <sheetPr codeName="Planilha3"/>
  <dimension ref="A1"/>
  <sheetViews>
    <sheetView showGridLines="0" workbookViewId="0">
      <selection activeCell="G39" sqref="G3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5F221-76F5-48CF-9817-4B7C8E69A865}">
  <sheetPr codeName="Planilha4"/>
  <dimension ref="G2:O9"/>
  <sheetViews>
    <sheetView tabSelected="1" workbookViewId="0">
      <selection activeCell="O5" sqref="O5"/>
    </sheetView>
  </sheetViews>
  <sheetFormatPr defaultRowHeight="15" x14ac:dyDescent="0.25"/>
  <cols>
    <col min="7" max="7" width="16.85546875" bestFit="1" customWidth="1"/>
    <col min="8" max="8" width="20.5703125" bestFit="1" customWidth="1"/>
  </cols>
  <sheetData>
    <row r="2" spans="7:15" ht="15.75" thickBot="1" x14ac:dyDescent="0.3"/>
    <row r="3" spans="7:15" ht="15.75" thickBot="1" x14ac:dyDescent="0.3">
      <c r="O3" s="10"/>
    </row>
    <row r="7" spans="7:15" x14ac:dyDescent="0.25">
      <c r="G7" s="11" t="s">
        <v>3</v>
      </c>
      <c r="H7" s="12" t="str">
        <f>IF($O$3&gt;=2,INDEX(Tabela1[[Órgão Superior]:[Valor Pago]],Formulário!$O$3,3),"")</f>
        <v/>
      </c>
    </row>
    <row r="8" spans="7:15" x14ac:dyDescent="0.25">
      <c r="G8" s="11" t="s">
        <v>4</v>
      </c>
      <c r="H8" s="12" t="str">
        <f>IF($O$3&gt;=2,INDEX(Tabela1[[Órgão Superior]:[Valor Pago]],Formulário!$O$3,4),"")</f>
        <v/>
      </c>
    </row>
    <row r="9" spans="7:15" x14ac:dyDescent="0.25">
      <c r="G9" s="11" t="s">
        <v>5</v>
      </c>
      <c r="H9" s="12" t="str">
        <f>IF($O$3&gt;=2,INDEX(Tabela1[[Órgão Superior]:[Valor Pago]],Formulário!$O$3,5),"")</f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Drop Down 4">
              <controlPr defaultSize="0" autoLine="0" autoPict="0">
                <anchor moveWithCells="1">
                  <from>
                    <xdr:col>5</xdr:col>
                    <xdr:colOff>561975</xdr:colOff>
                    <xdr:row>1</xdr:row>
                    <xdr:rowOff>114300</xdr:rowOff>
                  </from>
                  <to>
                    <xdr:col>11</xdr:col>
                    <xdr:colOff>476250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APAGAAR">
                <anchor moveWithCells="1" sizeWithCells="1">
                  <from>
                    <xdr:col>11</xdr:col>
                    <xdr:colOff>495300</xdr:colOff>
                    <xdr:row>6</xdr:row>
                    <xdr:rowOff>0</xdr:rowOff>
                  </from>
                  <to>
                    <xdr:col>15</xdr:col>
                    <xdr:colOff>276225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BASE</vt:lpstr>
      <vt:lpstr>TABELA DINAMICA</vt:lpstr>
      <vt:lpstr>DASHBOARD</vt:lpstr>
      <vt:lpstr>Formulário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Fatec</dc:creator>
  <cp:lastModifiedBy>Fatec</cp:lastModifiedBy>
  <dcterms:created xsi:type="dcterms:W3CDTF">2023-08-25T00:47:55Z</dcterms:created>
  <dcterms:modified xsi:type="dcterms:W3CDTF">2023-09-01T01:43:31Z</dcterms:modified>
</cp:coreProperties>
</file>